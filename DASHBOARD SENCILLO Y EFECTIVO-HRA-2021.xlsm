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4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7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3.xml" ContentType="application/vnd.openxmlformats-officedocument.drawingml.chartshapes+xml"/>
  <Override PartName="/xl/charts/chart18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9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1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bookViews>
    <workbookView xWindow="-120" yWindow="-120" windowWidth="20730" windowHeight="11160"/>
  </bookViews>
  <sheets>
    <sheet name="PRESUPUESTO" sheetId="3" r:id="rId1"/>
    <sheet name="Data" sheetId="4" state="veryHidden" r:id="rId2"/>
    <sheet name="Calculo" sheetId="2" state="veryHidden" r:id="rId3"/>
  </sheets>
  <externalReferences>
    <externalReference r:id="rId4"/>
  </externalReferences>
  <definedNames>
    <definedName name="ACTUAR">Calculo!$B$47:$D$47</definedName>
    <definedName name="CATEGORIA">Calculo!$A$44:$A$47</definedName>
    <definedName name="CLASEA">Calculo!$B$44:$B$47</definedName>
    <definedName name="CLASEB">Calculo!$C$44:$C$47</definedName>
    <definedName name="CLASEC">Calculo!$D$44:$D$47</definedName>
    <definedName name="Deming">INDIRECT(Calculo!$B$29)</definedName>
    <definedName name="HACER">Calculo!$B$45:$D$45</definedName>
    <definedName name="PLAN">#REF!</definedName>
    <definedName name="PLANIFICAR">Calculo!$B$44:$D$44</definedName>
    <definedName name="Planimplementacion">#REF!</definedName>
    <definedName name="resumen">#REF!</definedName>
    <definedName name="SegmentaciónDeDatos_FTE_FTO">#N/A</definedName>
    <definedName name="SegmentaciónDeDatos_G.G.">#N/A</definedName>
    <definedName name="Tiporegistro">'[1]Informe Auditoria'!#REF!</definedName>
    <definedName name="VERIFICAR">Calculo!$B$46:$D$46</definedName>
  </definedNames>
  <calcPr calcId="162913"/>
  <pivotCaches>
    <pivotCache cacheId="0" r:id="rId5"/>
    <pivotCache cacheId="1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1" i="2" l="1"/>
  <c r="B15" i="2"/>
  <c r="B9" i="2"/>
  <c r="B3" i="2"/>
  <c r="B68" i="2"/>
  <c r="J28" i="2"/>
  <c r="J23" i="2"/>
  <c r="J17" i="2"/>
  <c r="J10" i="2"/>
  <c r="I28" i="2"/>
  <c r="I23" i="2"/>
  <c r="I17" i="2"/>
  <c r="I10" i="2"/>
  <c r="H28" i="2"/>
  <c r="H23" i="2"/>
  <c r="H17" i="2"/>
  <c r="H10" i="2"/>
  <c r="G3" i="2" l="1"/>
  <c r="I3" i="2" s="1"/>
  <c r="J18" i="2" l="1"/>
  <c r="B29" i="2"/>
  <c r="I29" i="2" l="1"/>
  <c r="J29" i="2"/>
  <c r="I24" i="2"/>
  <c r="J24" i="2"/>
  <c r="L2" i="4" l="1"/>
  <c r="J2" i="4"/>
  <c r="G2" i="4"/>
  <c r="C2" i="4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L26" i="4"/>
  <c r="J26" i="4"/>
  <c r="C26" i="4"/>
  <c r="L25" i="4"/>
  <c r="J25" i="4"/>
  <c r="C25" i="4"/>
  <c r="L24" i="4"/>
  <c r="J24" i="4"/>
  <c r="C24" i="4"/>
  <c r="L23" i="4"/>
  <c r="J23" i="4"/>
  <c r="C23" i="4"/>
  <c r="L22" i="4"/>
  <c r="J22" i="4"/>
  <c r="C22" i="4"/>
  <c r="L21" i="4"/>
  <c r="J21" i="4"/>
  <c r="C21" i="4"/>
  <c r="L20" i="4"/>
  <c r="J20" i="4"/>
  <c r="C20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H29" i="2" l="1"/>
  <c r="H24" i="2"/>
  <c r="I18" i="2"/>
  <c r="H18" i="2"/>
  <c r="I11" i="2"/>
  <c r="J11" i="2"/>
  <c r="H11" i="2"/>
  <c r="B16" i="2"/>
  <c r="B22" i="2"/>
  <c r="B4" i="2" l="1"/>
  <c r="B10" i="2" l="1"/>
  <c r="G4" i="2" l="1"/>
  <c r="I5" i="2"/>
</calcChain>
</file>

<file path=xl/sharedStrings.xml><?xml version="1.0" encoding="utf-8"?>
<sst xmlns="http://schemas.openxmlformats.org/spreadsheetml/2006/main" count="114" uniqueCount="66">
  <si>
    <t>PLANIFICAR</t>
  </si>
  <si>
    <t>HACER</t>
  </si>
  <si>
    <t>VERIFICAR</t>
  </si>
  <si>
    <t>ACTUAR</t>
  </si>
  <si>
    <t>Total General</t>
  </si>
  <si>
    <t>CATEGORIA</t>
  </si>
  <si>
    <t>CLASEA</t>
  </si>
  <si>
    <t>CLASEB</t>
  </si>
  <si>
    <t>CLASEC</t>
  </si>
  <si>
    <t>Palnificar</t>
  </si>
  <si>
    <t>Hacer</t>
  </si>
  <si>
    <t>Verificar</t>
  </si>
  <si>
    <t>Actuar</t>
  </si>
  <si>
    <t>Proyecto</t>
  </si>
  <si>
    <t>Planificar</t>
  </si>
  <si>
    <t>Planificar: Criterio 01</t>
  </si>
  <si>
    <t>Planificar: Criterio 02</t>
  </si>
  <si>
    <t>Planificar: Criterio 03</t>
  </si>
  <si>
    <t>Hacer: Criterio 01</t>
  </si>
  <si>
    <t>Hacer: Criterio 02</t>
  </si>
  <si>
    <t>Verificar: Criterio 01</t>
  </si>
  <si>
    <t>Actuar: Criterio 01</t>
  </si>
  <si>
    <t>Fecha</t>
  </si>
  <si>
    <t>Promedio de Planificar</t>
  </si>
  <si>
    <t>Promedio de Hacer</t>
  </si>
  <si>
    <t>Promedio de Verificar</t>
  </si>
  <si>
    <t>Promedio de Actuar</t>
  </si>
  <si>
    <t>Promedio de Planificar: Criterio 01</t>
  </si>
  <si>
    <t>Promedio de Planificar: Criterio 02</t>
  </si>
  <si>
    <t>Promedio de Planificar: Criterio 03</t>
  </si>
  <si>
    <t>Promedio de Hacer: Criterio 01</t>
  </si>
  <si>
    <t>Promedio de Hacer: Criterio 02</t>
  </si>
  <si>
    <t>Promedio de Verificar: Criterio 01</t>
  </si>
  <si>
    <t>Promedio de Actuar: Criterio 01</t>
  </si>
  <si>
    <t>G.G. 2.1</t>
  </si>
  <si>
    <t>G.G. 2.2</t>
  </si>
  <si>
    <t>G.G. 2.3</t>
  </si>
  <si>
    <t>G.G. 2.6</t>
  </si>
  <si>
    <t>RO</t>
  </si>
  <si>
    <t>DT-SIS</t>
  </si>
  <si>
    <t>ROOC</t>
  </si>
  <si>
    <t>RDR</t>
  </si>
  <si>
    <t>CERTIFICADO</t>
  </si>
  <si>
    <t>ANUAL</t>
  </si>
  <si>
    <t>DEVENGADO</t>
  </si>
  <si>
    <t>DASHBOARD DE EJECUCCION PRESUPUESTAL</t>
  </si>
  <si>
    <t>ELABORADO POR: ECON. HELIO CALDERON ORE</t>
  </si>
  <si>
    <t>Total general</t>
  </si>
  <si>
    <t>5. RECURSOS DETERMINADOS</t>
  </si>
  <si>
    <t>4. DONACIONES Y TRANSFERENCIAS</t>
  </si>
  <si>
    <t>3. RECURSOS POR OPERACIONES OFICIALES DE CREDITO</t>
  </si>
  <si>
    <t>2. RECURSOS DIRECTAMENTE RECAUDADOS</t>
  </si>
  <si>
    <t>1. RECURSOS ORDINARIOS</t>
  </si>
  <si>
    <t xml:space="preserve">  % DEVENGADO</t>
  </si>
  <si>
    <t xml:space="preserve"> SALDO DEVENGADO</t>
  </si>
  <si>
    <t xml:space="preserve"> DEVENGADO</t>
  </si>
  <si>
    <t xml:space="preserve"> % MENSUAL</t>
  </si>
  <si>
    <t xml:space="preserve"> SALDO MENSUAL</t>
  </si>
  <si>
    <t xml:space="preserve"> MENSUAL</t>
  </si>
  <si>
    <t xml:space="preserve"> % ANUAL</t>
  </si>
  <si>
    <t xml:space="preserve"> SALDO ANUAL</t>
  </si>
  <si>
    <t>COM. ANUAL</t>
  </si>
  <si>
    <t xml:space="preserve"> % CERTIFICADO</t>
  </si>
  <si>
    <t xml:space="preserve"> SALDO X CERTIFICAR</t>
  </si>
  <si>
    <t>PIM</t>
  </si>
  <si>
    <t>FUENTE DE FINANCIAMIENTO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</si>
</sst>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theme="5"/>
      <name val="Arial Black"/>
      <family val="2"/>
    </font>
    <font>
      <b/>
      <u/>
      <sz val="20"/>
      <color theme="5"/>
      <name val="Arial Black"/>
      <family val="2"/>
    </font>
    <font>
      <b/>
      <sz val="14"/>
      <color theme="5"/>
      <name val="Calibri"/>
      <family val="2"/>
      <scheme val="minor"/>
    </font>
    <font>
      <b/>
      <sz val="12"/>
      <color theme="1"/>
      <name val="Cambria"/>
      <family val="1"/>
    </font>
    <font>
      <sz val="12"/>
      <color theme="1"/>
      <name val="Cambria"/>
      <family val="1"/>
    </font>
    <font>
      <b/>
      <sz val="12"/>
      <name val="Cambria"/>
      <family val="1"/>
    </font>
    <font>
      <sz val="12"/>
      <name val="Cambria"/>
      <family val="1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99FFCC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 style="hair">
        <color rgb="FF002060"/>
      </left>
      <right style="thin">
        <color rgb="FF999999"/>
      </right>
      <top style="hair">
        <color rgb="FF002060"/>
      </top>
      <bottom/>
      <diagonal/>
    </border>
    <border>
      <left style="hair">
        <color rgb="FF002060"/>
      </left>
      <right style="hair">
        <color rgb="FF002060"/>
      </right>
      <top style="hair">
        <color rgb="FF002060"/>
      </top>
      <bottom/>
      <diagonal/>
    </border>
    <border>
      <left style="thin">
        <color rgb="FF999999"/>
      </left>
      <right style="hair">
        <color rgb="FF002060"/>
      </right>
      <top style="hair">
        <color rgb="FF002060"/>
      </top>
      <bottom/>
      <diagonal/>
    </border>
    <border>
      <left style="thin">
        <color rgb="FF999999"/>
      </left>
      <right/>
      <top style="hair">
        <color rgb="FF002060"/>
      </top>
      <bottom/>
      <diagonal/>
    </border>
    <border>
      <left style="hair">
        <color rgb="FF002060"/>
      </left>
      <right style="thin">
        <color rgb="FF999999"/>
      </right>
      <top style="hair">
        <color rgb="FF002060"/>
      </top>
      <bottom style="hair">
        <color rgb="FF002060"/>
      </bottom>
      <diagonal/>
    </border>
    <border>
      <left style="hair">
        <color rgb="FF002060"/>
      </left>
      <right style="hair">
        <color rgb="FF002060"/>
      </right>
      <top style="hair">
        <color rgb="FF002060"/>
      </top>
      <bottom style="hair">
        <color rgb="FF002060"/>
      </bottom>
      <diagonal/>
    </border>
    <border>
      <left style="thin">
        <color rgb="FF999999"/>
      </left>
      <right style="hair">
        <color rgb="FF002060"/>
      </right>
      <top style="hair">
        <color rgb="FF002060"/>
      </top>
      <bottom style="hair">
        <color rgb="FF002060"/>
      </bottom>
      <diagonal/>
    </border>
    <border>
      <left style="thin">
        <color rgb="FF999999"/>
      </left>
      <right/>
      <top style="hair">
        <color rgb="FF002060"/>
      </top>
      <bottom style="hair">
        <color rgb="FF002060"/>
      </bottom>
      <diagonal/>
    </border>
    <border>
      <left style="hair">
        <color rgb="FF002060"/>
      </left>
      <right style="thin">
        <color rgb="FF999999"/>
      </right>
      <top style="thin">
        <color rgb="FF999999"/>
      </top>
      <bottom style="hair">
        <color rgb="FF002060"/>
      </bottom>
      <diagonal/>
    </border>
    <border>
      <left style="hair">
        <color rgb="FF002060"/>
      </left>
      <right style="hair">
        <color rgb="FF002060"/>
      </right>
      <top style="thin">
        <color rgb="FF999999"/>
      </top>
      <bottom style="hair">
        <color rgb="FF002060"/>
      </bottom>
      <diagonal/>
    </border>
    <border>
      <left style="thin">
        <color rgb="FF999999"/>
      </left>
      <right style="hair">
        <color rgb="FF002060"/>
      </right>
      <top style="thin">
        <color rgb="FF999999"/>
      </top>
      <bottom style="hair">
        <color rgb="FF002060"/>
      </bottom>
      <diagonal/>
    </border>
    <border>
      <left style="thin">
        <color rgb="FF999999"/>
      </left>
      <right/>
      <top style="thin">
        <color rgb="FF999999"/>
      </top>
      <bottom style="hair">
        <color rgb="FF00206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1">
    <xf numFmtId="0" fontId="0" fillId="0" borderId="0" xfId="0"/>
    <xf numFmtId="14" fontId="0" fillId="0" borderId="0" xfId="0" applyNumberFormat="1"/>
    <xf numFmtId="9" fontId="0" fillId="0" borderId="0" xfId="1" applyFont="1"/>
    <xf numFmtId="9" fontId="0" fillId="0" borderId="0" xfId="1" applyFont="1" applyAlignment="1">
      <alignment horizontal="center"/>
    </xf>
    <xf numFmtId="16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9" fontId="0" fillId="0" borderId="0" xfId="1" applyNumberFormat="1" applyFont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9" fontId="3" fillId="0" borderId="0" xfId="0" applyNumberFormat="1" applyFont="1"/>
    <xf numFmtId="9" fontId="3" fillId="0" borderId="1" xfId="0" applyNumberFormat="1" applyFont="1" applyBorder="1" applyAlignment="1">
      <alignment horizontal="center" vertical="center"/>
    </xf>
    <xf numFmtId="9" fontId="3" fillId="0" borderId="1" xfId="1" applyFont="1" applyBorder="1"/>
    <xf numFmtId="0" fontId="3" fillId="0" borderId="0" xfId="0" applyFont="1" applyBorder="1" applyAlignment="1">
      <alignment vertical="center"/>
    </xf>
    <xf numFmtId="9" fontId="3" fillId="0" borderId="0" xfId="1" applyFont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5" fillId="0" borderId="0" xfId="0" applyFont="1"/>
    <xf numFmtId="0" fontId="4" fillId="0" borderId="0" xfId="0" applyFont="1"/>
    <xf numFmtId="0" fontId="10" fillId="0" borderId="15" xfId="0" applyFont="1" applyBorder="1" applyAlignment="1">
      <alignment horizontal="left"/>
    </xf>
    <xf numFmtId="0" fontId="12" fillId="0" borderId="19" xfId="0" applyFont="1" applyBorder="1" applyAlignment="1">
      <alignment horizontal="left"/>
    </xf>
    <xf numFmtId="0" fontId="10" fillId="0" borderId="19" xfId="0" applyFont="1" applyBorder="1" applyAlignment="1">
      <alignment horizontal="left"/>
    </xf>
    <xf numFmtId="0" fontId="10" fillId="0" borderId="23" xfId="0" applyFont="1" applyBorder="1" applyAlignment="1">
      <alignment horizontal="left"/>
    </xf>
    <xf numFmtId="0" fontId="13" fillId="7" borderId="11" xfId="0" applyFont="1" applyFill="1" applyBorder="1" applyAlignment="1">
      <alignment horizontal="center" vertical="center" wrapText="1"/>
    </xf>
    <xf numFmtId="4" fontId="13" fillId="7" borderId="11" xfId="0" applyNumberFormat="1" applyFont="1" applyFill="1" applyBorder="1" applyAlignment="1">
      <alignment horizontal="center" vertical="center" wrapText="1"/>
    </xf>
    <xf numFmtId="4" fontId="13" fillId="6" borderId="11" xfId="0" applyNumberFormat="1" applyFont="1" applyFill="1" applyBorder="1" applyAlignment="1">
      <alignment horizontal="center" vertical="center" wrapText="1"/>
    </xf>
    <xf numFmtId="10" fontId="13" fillId="6" borderId="11" xfId="0" applyNumberFormat="1" applyFont="1" applyFill="1" applyBorder="1" applyAlignment="1">
      <alignment horizontal="center" vertical="center" wrapText="1"/>
    </xf>
    <xf numFmtId="4" fontId="13" fillId="5" borderId="11" xfId="0" applyNumberFormat="1" applyFont="1" applyFill="1" applyBorder="1" applyAlignment="1">
      <alignment horizontal="center" vertical="center" wrapText="1"/>
    </xf>
    <xf numFmtId="10" fontId="13" fillId="5" borderId="11" xfId="0" applyNumberFormat="1" applyFont="1" applyFill="1" applyBorder="1" applyAlignment="1">
      <alignment horizontal="center" vertical="center" wrapText="1"/>
    </xf>
    <xf numFmtId="4" fontId="13" fillId="4" borderId="11" xfId="0" applyNumberFormat="1" applyFont="1" applyFill="1" applyBorder="1" applyAlignment="1">
      <alignment horizontal="center" vertical="center" wrapText="1"/>
    </xf>
    <xf numFmtId="10" fontId="13" fillId="4" borderId="11" xfId="0" applyNumberFormat="1" applyFont="1" applyFill="1" applyBorder="1" applyAlignment="1">
      <alignment horizontal="center" vertical="center" wrapText="1"/>
    </xf>
    <xf numFmtId="4" fontId="13" fillId="3" borderId="11" xfId="0" applyNumberFormat="1" applyFont="1" applyFill="1" applyBorder="1" applyAlignment="1">
      <alignment horizontal="center" vertical="center" wrapText="1"/>
    </xf>
    <xf numFmtId="10" fontId="13" fillId="3" borderId="11" xfId="0" applyNumberFormat="1" applyFont="1" applyFill="1" applyBorder="1" applyAlignment="1">
      <alignment horizontal="center" vertical="center" wrapText="1"/>
    </xf>
    <xf numFmtId="4" fontId="13" fillId="7" borderId="11" xfId="0" applyNumberFormat="1" applyFont="1" applyFill="1" applyBorder="1"/>
    <xf numFmtId="4" fontId="13" fillId="6" borderId="11" xfId="0" applyNumberFormat="1" applyFont="1" applyFill="1" applyBorder="1"/>
    <xf numFmtId="10" fontId="13" fillId="6" borderId="11" xfId="0" applyNumberFormat="1" applyFont="1" applyFill="1" applyBorder="1"/>
    <xf numFmtId="4" fontId="13" fillId="5" borderId="11" xfId="0" applyNumberFormat="1" applyFont="1" applyFill="1" applyBorder="1"/>
    <xf numFmtId="10" fontId="13" fillId="5" borderId="11" xfId="0" applyNumberFormat="1" applyFont="1" applyFill="1" applyBorder="1"/>
    <xf numFmtId="4" fontId="13" fillId="4" borderId="11" xfId="0" applyNumberFormat="1" applyFont="1" applyFill="1" applyBorder="1"/>
    <xf numFmtId="10" fontId="13" fillId="4" borderId="11" xfId="0" applyNumberFormat="1" applyFont="1" applyFill="1" applyBorder="1"/>
    <xf numFmtId="4" fontId="13" fillId="3" borderId="11" xfId="0" applyNumberFormat="1" applyFont="1" applyFill="1" applyBorder="1"/>
    <xf numFmtId="10" fontId="13" fillId="3" borderId="11" xfId="0" applyNumberFormat="1" applyFont="1" applyFill="1" applyBorder="1"/>
    <xf numFmtId="0" fontId="13" fillId="7" borderId="11" xfId="0" applyFont="1" applyFill="1" applyBorder="1" applyAlignment="1">
      <alignment horizontal="left"/>
    </xf>
    <xf numFmtId="4" fontId="10" fillId="0" borderId="22" xfId="0" applyNumberFormat="1" applyFont="1" applyBorder="1"/>
    <xf numFmtId="4" fontId="10" fillId="0" borderId="21" xfId="0" applyNumberFormat="1" applyFont="1" applyBorder="1"/>
    <xf numFmtId="4" fontId="10" fillId="0" borderId="18" xfId="0" applyNumberFormat="1" applyFont="1" applyBorder="1"/>
    <xf numFmtId="4" fontId="10" fillId="0" borderId="17" xfId="0" applyNumberFormat="1" applyFont="1" applyBorder="1"/>
    <xf numFmtId="4" fontId="10" fillId="0" borderId="14" xfId="0" applyNumberFormat="1" applyFont="1" applyBorder="1"/>
    <xf numFmtId="4" fontId="10" fillId="0" borderId="13" xfId="0" applyNumberFormat="1" applyFont="1" applyBorder="1"/>
    <xf numFmtId="10" fontId="9" fillId="0" borderId="21" xfId="0" applyNumberFormat="1" applyFont="1" applyBorder="1"/>
    <xf numFmtId="10" fontId="9" fillId="0" borderId="17" xfId="0" applyNumberFormat="1" applyFont="1" applyBorder="1"/>
    <xf numFmtId="10" fontId="9" fillId="0" borderId="13" xfId="0" applyNumberFormat="1" applyFont="1" applyBorder="1"/>
    <xf numFmtId="10" fontId="9" fillId="0" borderId="20" xfId="0" applyNumberFormat="1" applyFont="1" applyBorder="1"/>
    <xf numFmtId="10" fontId="9" fillId="0" borderId="16" xfId="0" applyNumberFormat="1" applyFont="1" applyBorder="1"/>
    <xf numFmtId="10" fontId="9" fillId="0" borderId="12" xfId="0" applyNumberFormat="1" applyFont="1" applyBorder="1"/>
    <xf numFmtId="4" fontId="12" fillId="0" borderId="18" xfId="0" applyNumberFormat="1" applyFont="1" applyBorder="1"/>
    <xf numFmtId="4" fontId="12" fillId="0" borderId="17" xfId="0" applyNumberFormat="1" applyFont="1" applyBorder="1"/>
    <xf numFmtId="10" fontId="11" fillId="0" borderId="17" xfId="0" applyNumberFormat="1" applyFont="1" applyBorder="1"/>
    <xf numFmtId="10" fontId="11" fillId="0" borderId="16" xfId="0" applyNumberFormat="1" applyFont="1" applyBorder="1"/>
    <xf numFmtId="0" fontId="5" fillId="0" borderId="0" xfId="0" applyFont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/>
    </xf>
  </cellXfs>
  <cellStyles count="2">
    <cellStyle name="Normal" xfId="0" builtinId="0"/>
    <cellStyle name="Porcentaje" xfId="1" builtinId="5"/>
  </cellStyles>
  <dxfs count="106">
    <dxf>
      <font>
        <b/>
      </font>
    </dxf>
    <dxf>
      <font>
        <b/>
      </font>
    </dxf>
    <dxf>
      <font>
        <b/>
      </font>
    </dxf>
    <dxf>
      <numFmt numFmtId="13" formatCode="0%"/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13" formatCode="0%"/>
    </dxf>
    <dxf>
      <font>
        <color auto="1"/>
      </font>
    </dxf>
    <dxf>
      <font>
        <color auto="1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vertical style="hair">
          <color rgb="FF002060"/>
        </vertical>
        <horizontal style="hair">
          <color rgb="FF002060"/>
        </horizontal>
      </border>
    </dxf>
    <dxf>
      <border>
        <vertical style="hair">
          <color rgb="FF002060"/>
        </vertical>
        <horizontal style="hair">
          <color rgb="FF002060"/>
        </horizontal>
      </border>
    </dxf>
    <dxf>
      <border>
        <left style="thick">
          <color rgb="FF002060"/>
        </left>
        <right style="thick">
          <color rgb="FF002060"/>
        </right>
        <top style="thick">
          <color rgb="FF002060"/>
        </top>
        <bottom style="thick">
          <color rgb="FF002060"/>
        </bottom>
        <vertical style="thick">
          <color rgb="FF002060"/>
        </vertical>
      </border>
    </dxf>
    <dxf>
      <border>
        <left style="thick">
          <color rgb="FF002060"/>
        </left>
        <right style="thick">
          <color rgb="FF002060"/>
        </right>
        <top style="thick">
          <color rgb="FF002060"/>
        </top>
        <bottom style="thick">
          <color rgb="FF002060"/>
        </bottom>
        <vertical style="thick">
          <color rgb="FF002060"/>
        </vertical>
      </border>
    </dxf>
    <dxf>
      <border>
        <left style="thick">
          <color rgb="FF002060"/>
        </left>
        <right style="thick">
          <color rgb="FF002060"/>
        </right>
        <top style="thick">
          <color rgb="FF002060"/>
        </top>
        <bottom style="thick">
          <color rgb="FF002060"/>
        </bottom>
        <vertical style="thick">
          <color rgb="FF002060"/>
        </vertical>
      </border>
    </dxf>
    <dxf>
      <border>
        <left style="thick">
          <color rgb="FF002060"/>
        </left>
        <right style="thick">
          <color rgb="FF002060"/>
        </right>
        <top style="thick">
          <color rgb="FF002060"/>
        </top>
        <bottom style="thick">
          <color rgb="FF002060"/>
        </bottom>
        <vertical style="thick">
          <color rgb="FF002060"/>
        </vertical>
      </border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Cambria"/>
      </font>
    </dxf>
    <dxf>
      <font>
        <name val="Cambria"/>
      </font>
    </dxf>
    <dxf>
      <font>
        <b/>
        <name val="Calibri"/>
      </font>
    </dxf>
    <dxf>
      <font>
        <b/>
        <name val="Calibri"/>
      </font>
    </dxf>
    <dxf>
      <font>
        <b/>
        <name val="Calibri"/>
      </font>
    </dxf>
    <dxf>
      <font>
        <b/>
        <name val="Calibri"/>
      </font>
    </dxf>
    <dxf>
      <fill>
        <patternFill patternType="solid">
          <bgColor rgb="FF99FFCC"/>
        </patternFill>
      </fill>
    </dxf>
    <dxf>
      <fill>
        <patternFill patternType="solid">
          <bgColor rgb="FF99FFCC"/>
        </patternFill>
      </fill>
    </dxf>
    <dxf>
      <fill>
        <patternFill patternType="solid">
          <bgColor rgb="FF99FFCC"/>
        </patternFill>
      </fill>
    </dxf>
    <dxf>
      <fill>
        <patternFill patternType="solid">
          <bgColor rgb="FF99FFCC"/>
        </patternFill>
      </fill>
    </dxf>
    <dxf>
      <fill>
        <patternFill patternType="solid">
          <bgColor theme="4" tint="0.59996337778862885"/>
        </patternFill>
      </fill>
    </dxf>
    <dxf>
      <fill>
        <patternFill patternType="solid"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7" tint="0.59996337778862885"/>
        </patternFill>
      </fill>
    </dxf>
    <dxf>
      <alignment horizontal="center" vertical="center" wrapText="1"/>
    </dxf>
    <dxf>
      <alignment horizontal="center" vertical="center" wrapText="1"/>
    </dxf>
    <dxf>
      <border>
        <vertical style="hair">
          <color rgb="FF999999"/>
        </vertical>
        <horizontal style="hair">
          <color rgb="FF999999"/>
        </horizontal>
      </border>
    </dxf>
    <dxf>
      <border>
        <vertical style="hair">
          <color rgb="FF999999"/>
        </vertical>
        <horizontal style="hair">
          <color rgb="FF999999"/>
        </horizontal>
      </border>
    </dxf>
    <dxf>
      <border>
        <left style="thick">
          <color rgb="FF999999"/>
        </left>
        <right style="thick">
          <color rgb="FF999999"/>
        </right>
        <top style="thick">
          <color rgb="FF999999"/>
        </top>
        <bottom style="thick">
          <color rgb="FF999999"/>
        </bottom>
        <vertical style="thick">
          <color rgb="FF999999"/>
        </vertical>
      </border>
    </dxf>
    <dxf>
      <border>
        <left style="thick">
          <color rgb="FF999999"/>
        </left>
        <right style="thick">
          <color rgb="FF999999"/>
        </right>
        <top style="thick">
          <color rgb="FF999999"/>
        </top>
        <bottom style="thick">
          <color rgb="FF999999"/>
        </bottom>
        <vertical style="thick">
          <color rgb="FF999999"/>
        </vertical>
      </border>
    </dxf>
    <dxf>
      <border>
        <left style="thick">
          <color rgb="FF999999"/>
        </left>
        <right style="thick">
          <color rgb="FF999999"/>
        </right>
        <top style="thick">
          <color rgb="FF999999"/>
        </top>
        <bottom style="thick">
          <color rgb="FF999999"/>
        </bottom>
        <vertical style="thick">
          <color rgb="FF999999"/>
        </vertical>
      </border>
    </dxf>
    <dxf>
      <border>
        <left style="thick">
          <color rgb="FF999999"/>
        </left>
        <right style="thick">
          <color rgb="FF999999"/>
        </right>
        <top style="thick">
          <color rgb="FF999999"/>
        </top>
        <bottom style="thick">
          <color rgb="FF999999"/>
        </bottom>
        <vertical style="thick">
          <color rgb="FF999999"/>
        </vertical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b/>
      </font>
    </dxf>
    <dxf>
      <font>
        <b/>
      </font>
    </dxf>
    <dxf>
      <font>
        <b/>
      </font>
    </dxf>
    <dxf>
      <numFmt numFmtId="13" formatCode="0%"/>
    </dxf>
    <dxf>
      <font>
        <b/>
      </font>
    </dxf>
    <dxf>
      <font>
        <b/>
      </font>
    </dxf>
    <dxf>
      <font>
        <b/>
      </font>
    </dxf>
    <dxf>
      <numFmt numFmtId="13" formatCode="0%"/>
    </dxf>
    <dxf>
      <font>
        <b/>
      </font>
    </dxf>
    <dxf>
      <font>
        <b/>
      </font>
    </dxf>
    <dxf>
      <font>
        <b/>
      </font>
    </dxf>
    <dxf>
      <numFmt numFmtId="13" formatCode="0%"/>
    </dxf>
    <dxf>
      <font>
        <b/>
      </font>
    </dxf>
    <dxf>
      <font>
        <b/>
      </font>
    </dxf>
    <dxf>
      <font>
        <b/>
      </font>
    </dxf>
    <dxf>
      <numFmt numFmtId="13" formatCode="0%"/>
    </dxf>
    <dxf>
      <font>
        <b/>
      </font>
    </dxf>
    <dxf>
      <font>
        <b/>
      </font>
    </dxf>
    <dxf>
      <font>
        <b/>
      </font>
    </dxf>
    <dxf>
      <numFmt numFmtId="13" formatCode="0%"/>
    </dxf>
    <dxf>
      <font>
        <b/>
      </font>
    </dxf>
    <dxf>
      <font>
        <b/>
      </font>
    </dxf>
    <dxf>
      <font>
        <b/>
      </font>
    </dxf>
    <dxf>
      <numFmt numFmtId="13" formatCode="0%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alignment horizontal="center" vertical="bottom" textRotation="0" wrapText="0" indent="0" justifyLastLine="0" shrinkToFit="0" readingOrder="0"/>
    </dxf>
    <dxf>
      <numFmt numFmtId="19" formatCode="dd/mm/yyyy"/>
    </dxf>
    <dxf>
      <font>
        <b/>
        <i val="0"/>
        <u/>
        <color theme="1" tint="4.9989318521683403E-2"/>
      </font>
      <fill>
        <patternFill>
          <bgColor theme="5"/>
        </patternFill>
      </fill>
      <border>
        <left style="thin">
          <color theme="1" tint="4.9989318521683403E-2"/>
        </left>
        <right style="thin">
          <color theme="1" tint="4.9989318521683403E-2"/>
        </right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font>
        <b/>
        <i val="0"/>
        <color theme="1" tint="4.9989318521683403E-2"/>
      </font>
      <fill>
        <patternFill>
          <bgColor theme="5"/>
        </patternFill>
      </fill>
      <border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/>
        <horizontal/>
      </border>
    </dxf>
  </dxfs>
  <tableStyles count="1" defaultTableStyle="TableStyleMedium2" defaultPivotStyle="PivotStyleLight16">
    <tableStyle name="SlicerStyleLight1 2" pivot="0" table="0" count="10">
      <tableStyleElement type="wholeTable" dxfId="105"/>
      <tableStyleElement type="headerRow" dxfId="104"/>
    </tableStyle>
  </tableStyles>
  <colors>
    <mruColors>
      <color rgb="FFFF66CC"/>
      <color rgb="FFCCFFCC"/>
      <color rgb="FF99FF99"/>
      <color rgb="FFFF0066"/>
      <color rgb="FFCC9900"/>
      <color rgb="FFFF9966"/>
      <color rgb="FFD10129"/>
      <color rgb="FFFF6699"/>
      <color rgb="FFEFE5F7"/>
      <color rgb="FFFFD5DD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C9900"/>
              <bgColor auto="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C000"/>
              <bgColor theme="4" tint="0.79995117038483843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/>
            <i val="0"/>
            <color rgb="FF000000"/>
          </font>
          <fill>
            <patternFill patternType="solid">
              <fgColor auto="1"/>
              <bgColor theme="7" tint="0.3999450666829432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1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7030A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66-4865-AEF2-65F22C9541FB}"/>
              </c:ext>
            </c:extLst>
          </c:dPt>
          <c:dPt>
            <c:idx val="1"/>
            <c:bubble3D val="0"/>
            <c:spPr>
              <a:solidFill>
                <a:srgbClr val="EFE5F7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66-4865-AEF2-65F22C9541FB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66-4865-AEF2-65F22C9541FB}"/>
              </c:ext>
            </c:extLst>
          </c:dPt>
          <c:dLbls>
            <c:dLbl>
              <c:idx val="0"/>
              <c:layout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2566-4865-AEF2-65F22C9541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Calculo!$B$15:$B$17</c:f>
              <c:numCache>
                <c:formatCode>0%</c:formatCode>
                <c:ptCount val="3"/>
                <c:pt idx="0">
                  <c:v>0.38587706013600143</c:v>
                </c:pt>
                <c:pt idx="1">
                  <c:v>0.61412293986399857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566-4865-AEF2-65F22C954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18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70C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D55-4936-ACD4-AE4C710AA436}"/>
              </c:ext>
            </c:extLst>
          </c:dPt>
          <c:dPt>
            <c:idx val="1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55-4936-ACD4-AE4C710AA436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D55-4936-ACD4-AE4C710AA436}"/>
              </c:ext>
            </c:extLst>
          </c:dPt>
          <c:dLbls>
            <c:dLbl>
              <c:idx val="0"/>
              <c:layout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7D55-4936-ACD4-AE4C710AA4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Calculo!$B$21:$B$23</c:f>
              <c:numCache>
                <c:formatCode>0%</c:formatCode>
                <c:ptCount val="3"/>
                <c:pt idx="0">
                  <c:v>0.43716653043755693</c:v>
                </c:pt>
                <c:pt idx="1">
                  <c:v>0.56283346956244307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D55-4936-ACD4-AE4C710AA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C7D-4E67-BEF6-C94268763179}"/>
              </c:ext>
            </c:extLst>
          </c:dPt>
          <c:dPt>
            <c:idx val="1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C7D-4E67-BEF6-C9426876317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C7D-4E67-BEF6-C94268763179}"/>
              </c:ext>
            </c:extLst>
          </c:dPt>
          <c:dLbls>
            <c:dLbl>
              <c:idx val="0"/>
              <c:layout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1C7D-4E67-BEF6-C942687631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Calculo!$B$9:$B$11</c:f>
              <c:numCache>
                <c:formatCode>0%</c:formatCode>
                <c:ptCount val="3"/>
                <c:pt idx="0">
                  <c:v>0.42054263546464715</c:v>
                </c:pt>
                <c:pt idx="1">
                  <c:v>0.5794573645353529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7D-4E67-BEF6-C94268763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65365767119968E-2"/>
          <c:y val="6.2003445943405712E-2"/>
          <c:w val="0.91117079687489066"/>
          <c:h val="0.87599280245916999"/>
        </c:manualLayout>
      </c:layout>
      <c:pieChart>
        <c:varyColors val="1"/>
        <c:ser>
          <c:idx val="0"/>
          <c:order val="0"/>
          <c:spPr>
            <a:ln>
              <a:noFill/>
            </a:ln>
          </c:spPr>
          <c:explosion val="1"/>
          <c:dPt>
            <c:idx val="0"/>
            <c:bubble3D val="0"/>
            <c:spPr>
              <a:solidFill>
                <a:srgbClr val="D10129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9F-4360-A269-27F003622386}"/>
              </c:ext>
            </c:extLst>
          </c:dPt>
          <c:dPt>
            <c:idx val="1"/>
            <c:bubble3D val="0"/>
            <c:spPr>
              <a:solidFill>
                <a:srgbClr val="FFD5DD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19F-4360-A269-27F003622386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19F-4360-A269-27F003622386}"/>
              </c:ext>
            </c:extLst>
          </c:dPt>
          <c:dLbls>
            <c:dLbl>
              <c:idx val="0"/>
              <c:layout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819F-4360-A269-27F0036223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Calculo!$B$3:$B$5</c:f>
              <c:numCache>
                <c:formatCode>0%</c:formatCode>
                <c:ptCount val="3"/>
                <c:pt idx="0">
                  <c:v>0.53432690793662641</c:v>
                </c:pt>
                <c:pt idx="1">
                  <c:v>0.46567309206337359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9F-4360-A269-27F003622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6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D10129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8E3-46A2-9B3A-304BDE117BE8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8E3-46A2-9B3A-304BDE117BE8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8E3-46A2-9B3A-304BDE117BE8}"/>
              </c:ext>
            </c:extLst>
          </c:dPt>
          <c:val>
            <c:numRef>
              <c:f>Calculo!$B$3:$B$5</c:f>
              <c:numCache>
                <c:formatCode>0%</c:formatCode>
                <c:ptCount val="3"/>
                <c:pt idx="0">
                  <c:v>0.53432690793662641</c:v>
                </c:pt>
                <c:pt idx="1">
                  <c:v>0.46567309206337359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8E3-46A2-9B3A-304BDE117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360"/>
        <c:holeSize val="9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70C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F33-4AEF-A964-5C379D090625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F33-4AEF-A964-5C379D09062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F33-4AEF-A964-5C379D090625}"/>
              </c:ext>
            </c:extLst>
          </c:dPt>
          <c:val>
            <c:numRef>
              <c:f>Calculo!$B$21:$B$23</c:f>
              <c:numCache>
                <c:formatCode>0%</c:formatCode>
                <c:ptCount val="3"/>
                <c:pt idx="0">
                  <c:v>0.43716653043755693</c:v>
                </c:pt>
                <c:pt idx="1">
                  <c:v>0.56283346956244307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F33-4AEF-A964-5C379D090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9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7030A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71-4F5D-92AE-9FA8983AC042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71-4F5D-92AE-9FA8983AC04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71-4F5D-92AE-9FA8983AC042}"/>
              </c:ext>
            </c:extLst>
          </c:dPt>
          <c:val>
            <c:numRef>
              <c:f>Calculo!$B$15:$B$17</c:f>
              <c:numCache>
                <c:formatCode>0%</c:formatCode>
                <c:ptCount val="3"/>
                <c:pt idx="0">
                  <c:v>0.38587706013600143</c:v>
                </c:pt>
                <c:pt idx="1">
                  <c:v>0.61412293986399857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71-4F5D-92AE-9FA8983AC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180"/>
        <c:holeSize val="9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589825241631266E-2"/>
          <c:y val="3.637594552721686E-2"/>
          <c:w val="0.92306810985730103"/>
          <c:h val="0.92724810894556631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8FC-469F-BDC5-6FDF624DCFDC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8FC-469F-BDC5-6FDF624DCFD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8FC-469F-BDC5-6FDF624DCFDC}"/>
              </c:ext>
            </c:extLst>
          </c:dPt>
          <c:val>
            <c:numRef>
              <c:f>Calculo!$B$9:$B$11</c:f>
              <c:numCache>
                <c:formatCode>0%</c:formatCode>
                <c:ptCount val="3"/>
                <c:pt idx="0">
                  <c:v>0.42054263546464715</c:v>
                </c:pt>
                <c:pt idx="1">
                  <c:v>0.5794573645353529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8FC-469F-BDC5-6FDF624DC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90"/>
        <c:holeSize val="9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gradFill flip="none" rotWithShape="1">
                <a:gsLst>
                  <a:gs pos="0">
                    <a:schemeClr val="accent6">
                      <a:lumMod val="20000"/>
                      <a:lumOff val="80000"/>
                    </a:schemeClr>
                  </a:gs>
                  <a:gs pos="74000">
                    <a:schemeClr val="accent6"/>
                  </a:gs>
                  <a:gs pos="31000">
                    <a:schemeClr val="accent6">
                      <a:lumMod val="75000"/>
                    </a:schemeClr>
                  </a:gs>
                  <a:gs pos="100000">
                    <a:schemeClr val="accent6">
                      <a:lumMod val="50000"/>
                    </a:schemeClr>
                  </a:gs>
                </a:gsLst>
                <a:path path="circle">
                  <a:fillToRect l="100000" t="100000"/>
                </a:path>
                <a:tileRect r="-100000" b="-10000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EB0-4AD6-9836-03086C3A745E}"/>
              </c:ext>
            </c:extLst>
          </c:dPt>
          <c:dPt>
            <c:idx val="1"/>
            <c:bubble3D val="0"/>
            <c:spPr>
              <a:solidFill>
                <a:schemeClr val="bg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EB0-4AD6-9836-03086C3A745E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EB0-4AD6-9836-03086C3A745E}"/>
              </c:ext>
            </c:extLst>
          </c:dPt>
          <c:val>
            <c:numRef>
              <c:f>Calculo!$G$3:$G$5</c:f>
              <c:numCache>
                <c:formatCode>0%</c:formatCode>
                <c:ptCount val="3"/>
                <c:pt idx="0">
                  <c:v>0.50989924610976689</c:v>
                </c:pt>
                <c:pt idx="1">
                  <c:v>0.49010075389023311</c:v>
                </c:pt>
                <c:pt idx="2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B0-4AD6-9836-03086C3A7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40"/>
        <c:holeSize val="35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gradFill flip="none" rotWithShape="1">
                <a:gsLst>
                  <a:gs pos="62000">
                    <a:srgbClr val="FF6699"/>
                  </a:gs>
                  <a:gs pos="100000">
                    <a:srgbClr val="92D050"/>
                  </a:gs>
                </a:gsLst>
                <a:path path="circle">
                  <a:fillToRect r="100000" b="100000"/>
                </a:path>
                <a:tileRect l="-100000" t="-10000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CEB0-4AD6-9836-03086C3A745E}"/>
              </c:ext>
            </c:extLst>
          </c:dPt>
          <c:dPt>
            <c:idx val="1"/>
            <c:bubble3D val="0"/>
            <c:spPr>
              <a:solidFill>
                <a:schemeClr val="tx1">
                  <a:alpha val="99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EB0-4AD6-9836-03086C3A745E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EB0-4AD6-9836-03086C3A745E}"/>
              </c:ext>
            </c:extLst>
          </c:dPt>
          <c:val>
            <c:numRef>
              <c:f>Calculo!$I$3:$I$5</c:f>
              <c:numCache>
                <c:formatCode>0%</c:formatCode>
                <c:ptCount val="3"/>
                <c:pt idx="0">
                  <c:v>0.50989924610976689</c:v>
                </c:pt>
                <c:pt idx="1">
                  <c:v>0.05</c:v>
                </c:pt>
                <c:pt idx="2">
                  <c:v>0.94010075389023307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B0-4AD6-9836-03086C3A7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4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Calculo!$H$9</c:f>
              <c:strCache>
                <c:ptCount val="1"/>
                <c:pt idx="0">
                  <c:v>CERTIFICADO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D10129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E35-4D03-AE28-D3ADD4782F00}"/>
              </c:ext>
            </c:extLst>
          </c:dPt>
          <c:dPt>
            <c:idx val="1"/>
            <c:bubble3D val="0"/>
            <c:spPr>
              <a:solidFill>
                <a:srgbClr val="FFD5DD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CE35-4D03-AE28-D3ADD4782F0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CE35-4D03-AE28-D3ADD4782F00}"/>
              </c:ext>
            </c:extLst>
          </c:dPt>
          <c:val>
            <c:numRef>
              <c:f>Calculo!$H$10:$H$12</c:f>
              <c:numCache>
                <c:formatCode>0%</c:formatCode>
                <c:ptCount val="3"/>
                <c:pt idx="0">
                  <c:v>0.70854661574592415</c:v>
                </c:pt>
                <c:pt idx="1">
                  <c:v>0.29145338425407585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5-4D03-AE28-D3ADD4782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Calculo!$I$9</c:f>
              <c:strCache>
                <c:ptCount val="1"/>
                <c:pt idx="0">
                  <c:v>ANUAL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D10129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75B-463A-903A-E8A822DA81D5}"/>
              </c:ext>
            </c:extLst>
          </c:dPt>
          <c:dPt>
            <c:idx val="1"/>
            <c:bubble3D val="0"/>
            <c:spPr>
              <a:solidFill>
                <a:srgbClr val="FFD5DD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75B-463A-903A-E8A822DA81D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75B-463A-903A-E8A822DA81D5}"/>
              </c:ext>
            </c:extLst>
          </c:dPt>
          <c:val>
            <c:numRef>
              <c:f>Calculo!$I$10:$I$12</c:f>
              <c:numCache>
                <c:formatCode>0%</c:formatCode>
                <c:ptCount val="3"/>
                <c:pt idx="0">
                  <c:v>0.68754738952392813</c:v>
                </c:pt>
                <c:pt idx="1">
                  <c:v>0.31245261047607187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75B-463A-903A-E8A822DA8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Calculo!$J$9</c:f>
              <c:strCache>
                <c:ptCount val="1"/>
                <c:pt idx="0">
                  <c:v>DEVENGADO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D10129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1F-41A9-B0E5-8AD8EA571014}"/>
              </c:ext>
            </c:extLst>
          </c:dPt>
          <c:dPt>
            <c:idx val="1"/>
            <c:bubble3D val="0"/>
            <c:spPr>
              <a:solidFill>
                <a:srgbClr val="FFD5DD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21F-41A9-B0E5-8AD8EA571014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21F-41A9-B0E5-8AD8EA571014}"/>
              </c:ext>
            </c:extLst>
          </c:dPt>
          <c:val>
            <c:numRef>
              <c:f>Calculo!$J$10:$J$12</c:f>
              <c:numCache>
                <c:formatCode>0%</c:formatCode>
                <c:ptCount val="3"/>
                <c:pt idx="0">
                  <c:v>0.53432690793662641</c:v>
                </c:pt>
                <c:pt idx="1">
                  <c:v>0.46567309206337359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21F-41A9-B0E5-8AD8EA5710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Calculo!$H$16</c:f>
              <c:strCache>
                <c:ptCount val="1"/>
                <c:pt idx="0">
                  <c:v>CERTIFICADO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FD6-49CC-B9CB-91A253C1EE7C}"/>
              </c:ext>
            </c:extLst>
          </c:dPt>
          <c:dPt>
            <c:idx val="1"/>
            <c:bubble3D val="0"/>
            <c:spPr>
              <a:solidFill>
                <a:srgbClr val="CCFFC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FD6-49CC-B9CB-91A253C1EE7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FD6-49CC-B9CB-91A253C1EE7C}"/>
              </c:ext>
            </c:extLst>
          </c:dPt>
          <c:val>
            <c:numRef>
              <c:f>Calculo!$H$17:$H$19</c:f>
              <c:numCache>
                <c:formatCode>0%</c:formatCode>
                <c:ptCount val="3"/>
                <c:pt idx="0">
                  <c:v>0.87757220757093923</c:v>
                </c:pt>
                <c:pt idx="1">
                  <c:v>0.12242779242906077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D6-49CC-B9CB-91A253C1E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Calculo!$I$16</c:f>
              <c:strCache>
                <c:ptCount val="1"/>
                <c:pt idx="0">
                  <c:v>ANUAL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776-4522-BBF5-4043169CC4E2}"/>
              </c:ext>
            </c:extLst>
          </c:dPt>
          <c:dPt>
            <c:idx val="1"/>
            <c:bubble3D val="0"/>
            <c:spPr>
              <a:solidFill>
                <a:srgbClr val="CCFFC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776-4522-BBF5-4043169CC4E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776-4522-BBF5-4043169CC4E2}"/>
              </c:ext>
            </c:extLst>
          </c:dPt>
          <c:val>
            <c:numRef>
              <c:f>Calculo!$I$17:$I$19</c:f>
              <c:numCache>
                <c:formatCode>0%</c:formatCode>
                <c:ptCount val="3"/>
                <c:pt idx="0">
                  <c:v>0.55241589040982253</c:v>
                </c:pt>
                <c:pt idx="1">
                  <c:v>0.44758410959017747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776-4522-BBF5-4043169CC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7030A0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Calculo!$H$22</c:f>
              <c:strCache>
                <c:ptCount val="1"/>
                <c:pt idx="0">
                  <c:v>CERTIFICADO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7030A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945-4819-B81B-87C81C63C8F3}"/>
              </c:ext>
            </c:extLst>
          </c:dPt>
          <c:dPt>
            <c:idx val="1"/>
            <c:bubble3D val="0"/>
            <c:spPr>
              <a:solidFill>
                <a:srgbClr val="FF66C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945-4819-B81B-87C81C63C8F3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945-4819-B81B-87C81C63C8F3}"/>
              </c:ext>
            </c:extLst>
          </c:dPt>
          <c:val>
            <c:numRef>
              <c:f>Calculo!$H$23:$H$25</c:f>
              <c:numCache>
                <c:formatCode>0%</c:formatCode>
                <c:ptCount val="3"/>
                <c:pt idx="0">
                  <c:v>0.92221869603902462</c:v>
                </c:pt>
                <c:pt idx="1">
                  <c:v>7.7781303960975379E-2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45-4819-B81B-87C81C63C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Calculo!$H$27</c:f>
              <c:strCache>
                <c:ptCount val="1"/>
                <c:pt idx="0">
                  <c:v>CERTIFICADO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0070C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6E-4246-8A38-893555060DD4}"/>
              </c:ext>
            </c:extLst>
          </c:dPt>
          <c:dPt>
            <c:idx val="1"/>
            <c:bubble3D val="0"/>
            <c:spPr>
              <a:solidFill>
                <a:srgbClr val="CCFFC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A6E-4246-8A38-893555060DD4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A6E-4246-8A38-893555060DD4}"/>
              </c:ext>
            </c:extLst>
          </c:dPt>
          <c:val>
            <c:numRef>
              <c:f>Calculo!$H$28:$H$30</c:f>
              <c:numCache>
                <c:formatCode>0%</c:formatCode>
                <c:ptCount val="3"/>
                <c:pt idx="0">
                  <c:v>0.54305224118010731</c:v>
                </c:pt>
                <c:pt idx="1">
                  <c:v>0.45694775881989269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A6E-4246-8A38-893555060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4878131186594397"/>
          <c:y val="4.64807315408362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Calculo!$J$16</c:f>
              <c:strCache>
                <c:ptCount val="1"/>
                <c:pt idx="0">
                  <c:v>DEVENGADO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</c:spPr>
          <c:dPt>
            <c:idx val="0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216-4D8A-8F8A-F4A3EC89C052}"/>
              </c:ext>
            </c:extLst>
          </c:dPt>
          <c:dPt>
            <c:idx val="1"/>
            <c:bubble3D val="0"/>
            <c:spPr>
              <a:solidFill>
                <a:srgbClr val="CCFFCC">
                  <a:alpha val="99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16-4D8A-8F8A-F4A3EC89C05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216-4D8A-8F8A-F4A3EC89C052}"/>
              </c:ext>
            </c:extLst>
          </c:dPt>
          <c:val>
            <c:numRef>
              <c:f>Calculo!$J$17:$J$19</c:f>
              <c:numCache>
                <c:formatCode>0%</c:formatCode>
                <c:ptCount val="3"/>
                <c:pt idx="0">
                  <c:v>0.42054263546464715</c:v>
                </c:pt>
                <c:pt idx="1">
                  <c:v>0.5794573645353529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16-4D8A-8F8A-F4A3EC89C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7030A0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Calculo!$I$22</c:f>
              <c:strCache>
                <c:ptCount val="1"/>
                <c:pt idx="0">
                  <c:v>ANUAL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7030A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434-4345-8FD5-E095AE452FCE}"/>
              </c:ext>
            </c:extLst>
          </c:dPt>
          <c:dPt>
            <c:idx val="1"/>
            <c:bubble3D val="0"/>
            <c:spPr>
              <a:solidFill>
                <a:srgbClr val="FF66C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434-4345-8FD5-E095AE452FCE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434-4345-8FD5-E095AE452FCE}"/>
              </c:ext>
            </c:extLst>
          </c:dPt>
          <c:val>
            <c:numRef>
              <c:f>Calculo!$I$23:$I$25</c:f>
              <c:numCache>
                <c:formatCode>0%</c:formatCode>
                <c:ptCount val="3"/>
                <c:pt idx="0">
                  <c:v>0.92221869603902462</c:v>
                </c:pt>
                <c:pt idx="1">
                  <c:v>7.7781303960975379E-2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34-4345-8FD5-E095AE452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9430528114076185"/>
          <c:y val="4.66666593175864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7030A0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Calculo!$J$22</c:f>
              <c:strCache>
                <c:ptCount val="1"/>
                <c:pt idx="0">
                  <c:v>DEVENGADO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7030A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97E-46F2-93E6-DE4E54F76BE6}"/>
              </c:ext>
            </c:extLst>
          </c:dPt>
          <c:dPt>
            <c:idx val="1"/>
            <c:bubble3D val="0"/>
            <c:spPr>
              <a:solidFill>
                <a:srgbClr val="FF66C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97E-46F2-93E6-DE4E54F76BE6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97E-46F2-93E6-DE4E54F76BE6}"/>
              </c:ext>
            </c:extLst>
          </c:dPt>
          <c:val>
            <c:numRef>
              <c:f>Calculo!$J$23:$J$25</c:f>
              <c:numCache>
                <c:formatCode>0%</c:formatCode>
                <c:ptCount val="3"/>
                <c:pt idx="0">
                  <c:v>0.38587706013600143</c:v>
                </c:pt>
                <c:pt idx="1">
                  <c:v>0.61412293986399857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97E-46F2-93E6-DE4E54F7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Calculo!$I$27</c:f>
              <c:strCache>
                <c:ptCount val="1"/>
                <c:pt idx="0">
                  <c:v>ANUAL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1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465-4DCA-B2F4-10A189A42E92}"/>
              </c:ext>
            </c:extLst>
          </c:dPt>
          <c:dPt>
            <c:idx val="1"/>
            <c:bubble3D val="0"/>
            <c:spPr>
              <a:solidFill>
                <a:srgbClr val="CCFFCC">
                  <a:alpha val="73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465-4DCA-B2F4-10A189A42E9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465-4DCA-B2F4-10A189A42E92}"/>
              </c:ext>
            </c:extLst>
          </c:dPt>
          <c:val>
            <c:numRef>
              <c:f>Calculo!$I$28:$I$30</c:f>
              <c:numCache>
                <c:formatCode>0%</c:formatCode>
                <c:ptCount val="3"/>
                <c:pt idx="0">
                  <c:v>0.4787059913174212</c:v>
                </c:pt>
                <c:pt idx="1">
                  <c:v>0.5212940086825788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65-4DCA-B2F4-10A189A42E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9153512758950693"/>
          <c:y val="3.9848193374252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doughnutChart>
        <c:varyColors val="0"/>
        <c:ser>
          <c:idx val="0"/>
          <c:order val="0"/>
          <c:tx>
            <c:strRef>
              <c:f>Calculo!$J$27</c:f>
              <c:strCache>
                <c:ptCount val="1"/>
                <c:pt idx="0">
                  <c:v>DEVENGADO</c:v>
                </c:pt>
              </c:strCache>
            </c:strRef>
          </c:tx>
          <c:spPr>
            <a:solidFill>
              <a:schemeClr val="accent1"/>
            </a:solidFill>
            <a:ln w="19050">
              <a:noFill/>
            </a:ln>
            <a:effectLst/>
          </c:spPr>
          <c:dPt>
            <c:idx val="0"/>
            <c:bubble3D val="0"/>
            <c:spPr>
              <a:solidFill>
                <a:srgbClr val="0070C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3EC-4D90-B254-D7562F4807F1}"/>
              </c:ext>
            </c:extLst>
          </c:dPt>
          <c:dPt>
            <c:idx val="1"/>
            <c:bubble3D val="0"/>
            <c:spPr>
              <a:solidFill>
                <a:srgbClr val="CCFFC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3EC-4D90-B254-D7562F4807F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3EC-4D90-B254-D7562F4807F1}"/>
              </c:ext>
            </c:extLst>
          </c:dPt>
          <c:val>
            <c:numRef>
              <c:f>Calculo!$J$28:$J$30</c:f>
              <c:numCache>
                <c:formatCode>0%</c:formatCode>
                <c:ptCount val="3"/>
                <c:pt idx="0">
                  <c:v>0.43716653043755693</c:v>
                </c:pt>
                <c:pt idx="1">
                  <c:v>0.56283346956244307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3EC-4D90-B254-D7562F480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firstButton="1" fmlaLink="Calculo!$A$29" lockText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Radio" checked="Checked" lockText="1"/>
</file>

<file path=xl/ctrlProps/ctrlProp4.xml><?xml version="1.0" encoding="utf-8"?>
<formControlPr xmlns="http://schemas.microsoft.com/office/spreadsheetml/2009/9/main" objectType="Radio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image" Target="../media/image5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4.emf"/><Relationship Id="rId5" Type="http://schemas.openxmlformats.org/officeDocument/2006/relationships/chart" Target="../charts/chart5.xml"/><Relationship Id="rId10" Type="http://schemas.openxmlformats.org/officeDocument/2006/relationships/image" Target="../media/image3.emf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12" Type="http://schemas.openxmlformats.org/officeDocument/2006/relationships/chart" Target="../charts/chart21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11" Type="http://schemas.openxmlformats.org/officeDocument/2006/relationships/chart" Target="../charts/chart20.xml"/><Relationship Id="rId5" Type="http://schemas.openxmlformats.org/officeDocument/2006/relationships/chart" Target="../charts/chart14.xml"/><Relationship Id="rId10" Type="http://schemas.openxmlformats.org/officeDocument/2006/relationships/chart" Target="../charts/chart19.xml"/><Relationship Id="rId4" Type="http://schemas.openxmlformats.org/officeDocument/2006/relationships/chart" Target="../charts/chart13.xml"/><Relationship Id="rId9" Type="http://schemas.openxmlformats.org/officeDocument/2006/relationships/chart" Target="../charts/chart1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325954</xdr:colOff>
          <xdr:row>0</xdr:row>
          <xdr:rowOff>126671</xdr:rowOff>
        </xdr:from>
        <xdr:to>
          <xdr:col>27</xdr:col>
          <xdr:colOff>758290</xdr:colOff>
          <xdr:row>4</xdr:row>
          <xdr:rowOff>136196</xdr:rowOff>
        </xdr:to>
        <xdr:grpSp>
          <xdr:nvGrpSpPr>
            <xdr:cNvPr id="7" name="Grupo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pSpPr/>
          </xdr:nvGrpSpPr>
          <xdr:grpSpPr>
            <a:xfrm>
              <a:off x="19462545" y="126671"/>
              <a:ext cx="1199284" cy="751733"/>
              <a:chOff x="16048388" y="114300"/>
              <a:chExt cx="1199284" cy="380629"/>
            </a:xfrm>
          </xdr:grpSpPr>
          <xdr:sp macro="" textlink="">
            <xdr:nvSpPr>
              <xdr:cNvPr id="2089" name="Label1" hidden="1">
                <a:extLst>
                  <a:ext uri="{63B3BB69-23CF-44E3-9099-C40C66FF867C}">
                    <a14:compatExt spid="_x0000_s2089"/>
                  </a:ext>
                  <a:ext uri="{FF2B5EF4-FFF2-40B4-BE49-F238E27FC236}">
                    <a16:creationId xmlns:a16="http://schemas.microsoft.com/office/drawing/2014/main" id="{00000000-0008-0000-0000-000029080000}"/>
                  </a:ext>
                </a:extLst>
              </xdr:cNvPr>
              <xdr:cNvSpPr/>
            </xdr:nvSpPr>
            <xdr:spPr bwMode="auto">
              <a:xfrm>
                <a:off x="16048388" y="114300"/>
                <a:ext cx="624073" cy="38062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08" name="Label2" hidden="1">
                <a:extLst>
                  <a:ext uri="{63B3BB69-23CF-44E3-9099-C40C66FF867C}">
                    <a14:compatExt spid="_x0000_s2108"/>
                  </a:ext>
                  <a:ext uri="{FF2B5EF4-FFF2-40B4-BE49-F238E27FC236}">
                    <a16:creationId xmlns:a16="http://schemas.microsoft.com/office/drawing/2014/main" id="{00000000-0008-0000-0000-00003C080000}"/>
                  </a:ext>
                </a:extLst>
              </xdr:cNvPr>
              <xdr:cNvSpPr/>
            </xdr:nvSpPr>
            <xdr:spPr bwMode="auto">
              <a:xfrm>
                <a:off x="16666276" y="118877"/>
                <a:ext cx="581396" cy="2518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2</xdr:col>
      <xdr:colOff>596488</xdr:colOff>
      <xdr:row>3</xdr:row>
      <xdr:rowOff>12369</xdr:rowOff>
    </xdr:from>
    <xdr:to>
      <xdr:col>14</xdr:col>
      <xdr:colOff>544285</xdr:colOff>
      <xdr:row>31</xdr:row>
      <xdr:rowOff>12646</xdr:rowOff>
    </xdr:to>
    <xdr:grpSp>
      <xdr:nvGrpSpPr>
        <xdr:cNvPr id="47" name="Group 8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pSpPr/>
      </xdr:nvGrpSpPr>
      <xdr:grpSpPr>
        <a:xfrm rot="10800000">
          <a:off x="1808761" y="569025"/>
          <a:ext cx="8668738" cy="5195731"/>
          <a:chOff x="2186609" y="824948"/>
          <a:chExt cx="3207026" cy="5208104"/>
        </a:xfrm>
        <a:scene3d>
          <a:camera prst="isometricBottomDown">
            <a:rot lat="0" lon="19200000" rev="21594000"/>
          </a:camera>
          <a:lightRig rig="sunset" dir="t"/>
        </a:scene3d>
      </xdr:grpSpPr>
      <xdr:sp macro="" textlink="">
        <xdr:nvSpPr>
          <xdr:cNvPr id="48" name="Rectangle: Rounded Corners 3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>
            <a:off x="2186609" y="824948"/>
            <a:ext cx="3207026" cy="5208104"/>
          </a:xfrm>
          <a:prstGeom prst="roundRect">
            <a:avLst>
              <a:gd name="adj" fmla="val 3858"/>
            </a:avLst>
          </a:prstGeom>
          <a:solidFill>
            <a:srgbClr val="CC9900"/>
          </a:solidFill>
          <a:ln>
            <a:noFill/>
          </a:ln>
          <a:sp3d extrusionH="165100" contourW="12700" prstMaterial="powder">
            <a:extrusionClr>
              <a:schemeClr val="accent4">
                <a:lumMod val="50000"/>
              </a:schemeClr>
            </a:extrusionClr>
            <a:contourClr>
              <a:schemeClr val="accent4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9" name="Freeform: Shape 6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/>
        </xdr:nvSpPr>
        <xdr:spPr>
          <a:xfrm>
            <a:off x="2286000" y="913519"/>
            <a:ext cx="3008243" cy="4765921"/>
          </a:xfrm>
          <a:custGeom>
            <a:avLst/>
            <a:gdLst>
              <a:gd name="connsiteX0" fmla="*/ 79508 w 3008243"/>
              <a:gd name="connsiteY0" fmla="*/ 0 h 4765921"/>
              <a:gd name="connsiteX1" fmla="*/ 1222529 w 3008243"/>
              <a:gd name="connsiteY1" fmla="*/ 0 h 4765921"/>
              <a:gd name="connsiteX2" fmla="*/ 1223037 w 3008243"/>
              <a:gd name="connsiteY2" fmla="*/ 6749 h 4765921"/>
              <a:gd name="connsiteX3" fmla="*/ 1408044 w 3008243"/>
              <a:gd name="connsiteY3" fmla="*/ 208943 h 4765921"/>
              <a:gd name="connsiteX4" fmla="*/ 1593051 w 3008243"/>
              <a:gd name="connsiteY4" fmla="*/ 6749 h 4765921"/>
              <a:gd name="connsiteX5" fmla="*/ 1593559 w 3008243"/>
              <a:gd name="connsiteY5" fmla="*/ 0 h 4765921"/>
              <a:gd name="connsiteX6" fmla="*/ 2928735 w 3008243"/>
              <a:gd name="connsiteY6" fmla="*/ 0 h 4765921"/>
              <a:gd name="connsiteX7" fmla="*/ 3008243 w 3008243"/>
              <a:gd name="connsiteY7" fmla="*/ 79508 h 4765921"/>
              <a:gd name="connsiteX8" fmla="*/ 3008243 w 3008243"/>
              <a:gd name="connsiteY8" fmla="*/ 4686413 h 4765921"/>
              <a:gd name="connsiteX9" fmla="*/ 2928735 w 3008243"/>
              <a:gd name="connsiteY9" fmla="*/ 4765921 h 4765921"/>
              <a:gd name="connsiteX10" fmla="*/ 79508 w 3008243"/>
              <a:gd name="connsiteY10" fmla="*/ 4765921 h 4765921"/>
              <a:gd name="connsiteX11" fmla="*/ 0 w 3008243"/>
              <a:gd name="connsiteY11" fmla="*/ 4686413 h 4765921"/>
              <a:gd name="connsiteX12" fmla="*/ 0 w 3008243"/>
              <a:gd name="connsiteY12" fmla="*/ 79508 h 4765921"/>
              <a:gd name="connsiteX13" fmla="*/ 79508 w 3008243"/>
              <a:gd name="connsiteY13" fmla="*/ 0 h 47659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3008243" h="4765921">
                <a:moveTo>
                  <a:pt x="79508" y="0"/>
                </a:moveTo>
                <a:lnTo>
                  <a:pt x="1222529" y="0"/>
                </a:lnTo>
                <a:lnTo>
                  <a:pt x="1223037" y="6749"/>
                </a:lnTo>
                <a:cubicBezTo>
                  <a:pt x="1240646" y="122141"/>
                  <a:pt x="1316785" y="208943"/>
                  <a:pt x="1408044" y="208943"/>
                </a:cubicBezTo>
                <a:cubicBezTo>
                  <a:pt x="1499303" y="208943"/>
                  <a:pt x="1575443" y="122141"/>
                  <a:pt x="1593051" y="6749"/>
                </a:cubicBezTo>
                <a:lnTo>
                  <a:pt x="1593559" y="0"/>
                </a:lnTo>
                <a:lnTo>
                  <a:pt x="2928735" y="0"/>
                </a:lnTo>
                <a:cubicBezTo>
                  <a:pt x="2972646" y="0"/>
                  <a:pt x="3008243" y="35597"/>
                  <a:pt x="3008243" y="79508"/>
                </a:cubicBezTo>
                <a:lnTo>
                  <a:pt x="3008243" y="4686413"/>
                </a:lnTo>
                <a:cubicBezTo>
                  <a:pt x="3008243" y="4730324"/>
                  <a:pt x="2972646" y="4765921"/>
                  <a:pt x="2928735" y="4765921"/>
                </a:cubicBezTo>
                <a:lnTo>
                  <a:pt x="79508" y="4765921"/>
                </a:lnTo>
                <a:cubicBezTo>
                  <a:pt x="35597" y="4765921"/>
                  <a:pt x="0" y="4730324"/>
                  <a:pt x="0" y="4686413"/>
                </a:cubicBezTo>
                <a:lnTo>
                  <a:pt x="0" y="79508"/>
                </a:lnTo>
                <a:cubicBezTo>
                  <a:pt x="0" y="35597"/>
                  <a:pt x="35597" y="0"/>
                  <a:pt x="79508" y="0"/>
                </a:cubicBezTo>
                <a:close/>
              </a:path>
            </a:pathLst>
          </a:custGeom>
          <a:gradFill>
            <a:gsLst>
              <a:gs pos="8000">
                <a:schemeClr val="tx1">
                  <a:lumMod val="95000"/>
                  <a:lumOff val="5000"/>
                </a:schemeClr>
              </a:gs>
              <a:gs pos="88000">
                <a:schemeClr val="tx1">
                  <a:lumMod val="95000"/>
                  <a:lumOff val="5000"/>
                </a:schemeClr>
              </a:gs>
              <a:gs pos="47000">
                <a:schemeClr val="tx1">
                  <a:lumMod val="75000"/>
                  <a:lumOff val="25000"/>
                </a:schemeClr>
              </a:gs>
            </a:gsLst>
            <a:lin ang="0" scaled="1"/>
          </a:gradFill>
          <a:ln>
            <a:solidFill>
              <a:schemeClr val="tx1">
                <a:lumMod val="95000"/>
                <a:lumOff val="5000"/>
              </a:schemeClr>
            </a:solidFill>
          </a:ln>
          <a:sp3d extrusionH="165100" contourW="12700" prstMaterial="powder">
            <a:contourClr>
              <a:schemeClr val="accent2">
                <a:lumMod val="7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13</xdr:col>
      <xdr:colOff>27583</xdr:colOff>
      <xdr:row>3</xdr:row>
      <xdr:rowOff>12370</xdr:rowOff>
    </xdr:from>
    <xdr:to>
      <xdr:col>19</xdr:col>
      <xdr:colOff>114174</xdr:colOff>
      <xdr:row>31</xdr:row>
      <xdr:rowOff>25019</xdr:rowOff>
    </xdr:to>
    <xdr:grpSp>
      <xdr:nvGrpSpPr>
        <xdr:cNvPr id="44" name="Group 8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 rot="10800000">
          <a:off x="9193849" y="569026"/>
          <a:ext cx="4688280" cy="5208103"/>
          <a:chOff x="2186609" y="824948"/>
          <a:chExt cx="3207026" cy="5208104"/>
        </a:xfrm>
        <a:scene3d>
          <a:camera prst="isometricBottomDown">
            <a:rot lat="0" lon="19200000" rev="21594000"/>
          </a:camera>
          <a:lightRig rig="sunset" dir="t"/>
        </a:scene3d>
      </xdr:grpSpPr>
      <xdr:sp macro="" textlink="">
        <xdr:nvSpPr>
          <xdr:cNvPr id="45" name="Rectangle: Rounded Corners 3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/>
        </xdr:nvSpPr>
        <xdr:spPr>
          <a:xfrm>
            <a:off x="2186609" y="824948"/>
            <a:ext cx="3207026" cy="5208104"/>
          </a:xfrm>
          <a:prstGeom prst="roundRect">
            <a:avLst>
              <a:gd name="adj" fmla="val 3858"/>
            </a:avLst>
          </a:prstGeom>
          <a:solidFill>
            <a:srgbClr val="CC9900"/>
          </a:solidFill>
          <a:ln>
            <a:noFill/>
          </a:ln>
          <a:sp3d extrusionH="165100" contourW="12700" prstMaterial="powder">
            <a:extrusionClr>
              <a:schemeClr val="accent4">
                <a:lumMod val="50000"/>
              </a:schemeClr>
            </a:extrusionClr>
            <a:contourClr>
              <a:schemeClr val="accent4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6" name="Freeform: Shape 6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2286000" y="913519"/>
            <a:ext cx="3008243" cy="4765921"/>
          </a:xfrm>
          <a:custGeom>
            <a:avLst/>
            <a:gdLst>
              <a:gd name="connsiteX0" fmla="*/ 79508 w 3008243"/>
              <a:gd name="connsiteY0" fmla="*/ 0 h 4765921"/>
              <a:gd name="connsiteX1" fmla="*/ 1222529 w 3008243"/>
              <a:gd name="connsiteY1" fmla="*/ 0 h 4765921"/>
              <a:gd name="connsiteX2" fmla="*/ 1223037 w 3008243"/>
              <a:gd name="connsiteY2" fmla="*/ 6749 h 4765921"/>
              <a:gd name="connsiteX3" fmla="*/ 1408044 w 3008243"/>
              <a:gd name="connsiteY3" fmla="*/ 208943 h 4765921"/>
              <a:gd name="connsiteX4" fmla="*/ 1593051 w 3008243"/>
              <a:gd name="connsiteY4" fmla="*/ 6749 h 4765921"/>
              <a:gd name="connsiteX5" fmla="*/ 1593559 w 3008243"/>
              <a:gd name="connsiteY5" fmla="*/ 0 h 4765921"/>
              <a:gd name="connsiteX6" fmla="*/ 2928735 w 3008243"/>
              <a:gd name="connsiteY6" fmla="*/ 0 h 4765921"/>
              <a:gd name="connsiteX7" fmla="*/ 3008243 w 3008243"/>
              <a:gd name="connsiteY7" fmla="*/ 79508 h 4765921"/>
              <a:gd name="connsiteX8" fmla="*/ 3008243 w 3008243"/>
              <a:gd name="connsiteY8" fmla="*/ 4686413 h 4765921"/>
              <a:gd name="connsiteX9" fmla="*/ 2928735 w 3008243"/>
              <a:gd name="connsiteY9" fmla="*/ 4765921 h 4765921"/>
              <a:gd name="connsiteX10" fmla="*/ 79508 w 3008243"/>
              <a:gd name="connsiteY10" fmla="*/ 4765921 h 4765921"/>
              <a:gd name="connsiteX11" fmla="*/ 0 w 3008243"/>
              <a:gd name="connsiteY11" fmla="*/ 4686413 h 4765921"/>
              <a:gd name="connsiteX12" fmla="*/ 0 w 3008243"/>
              <a:gd name="connsiteY12" fmla="*/ 79508 h 4765921"/>
              <a:gd name="connsiteX13" fmla="*/ 79508 w 3008243"/>
              <a:gd name="connsiteY13" fmla="*/ 0 h 47659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3008243" h="4765921">
                <a:moveTo>
                  <a:pt x="79508" y="0"/>
                </a:moveTo>
                <a:lnTo>
                  <a:pt x="1222529" y="0"/>
                </a:lnTo>
                <a:lnTo>
                  <a:pt x="1223037" y="6749"/>
                </a:lnTo>
                <a:cubicBezTo>
                  <a:pt x="1240646" y="122141"/>
                  <a:pt x="1316785" y="208943"/>
                  <a:pt x="1408044" y="208943"/>
                </a:cubicBezTo>
                <a:cubicBezTo>
                  <a:pt x="1499303" y="208943"/>
                  <a:pt x="1575443" y="122141"/>
                  <a:pt x="1593051" y="6749"/>
                </a:cubicBezTo>
                <a:lnTo>
                  <a:pt x="1593559" y="0"/>
                </a:lnTo>
                <a:lnTo>
                  <a:pt x="2928735" y="0"/>
                </a:lnTo>
                <a:cubicBezTo>
                  <a:pt x="2972646" y="0"/>
                  <a:pt x="3008243" y="35597"/>
                  <a:pt x="3008243" y="79508"/>
                </a:cubicBezTo>
                <a:lnTo>
                  <a:pt x="3008243" y="4686413"/>
                </a:lnTo>
                <a:cubicBezTo>
                  <a:pt x="3008243" y="4730324"/>
                  <a:pt x="2972646" y="4765921"/>
                  <a:pt x="2928735" y="4765921"/>
                </a:cubicBezTo>
                <a:lnTo>
                  <a:pt x="79508" y="4765921"/>
                </a:lnTo>
                <a:cubicBezTo>
                  <a:pt x="35597" y="4765921"/>
                  <a:pt x="0" y="4730324"/>
                  <a:pt x="0" y="4686413"/>
                </a:cubicBezTo>
                <a:lnTo>
                  <a:pt x="0" y="79508"/>
                </a:lnTo>
                <a:cubicBezTo>
                  <a:pt x="0" y="35597"/>
                  <a:pt x="35597" y="0"/>
                  <a:pt x="79508" y="0"/>
                </a:cubicBezTo>
                <a:close/>
              </a:path>
            </a:pathLst>
          </a:custGeom>
          <a:gradFill>
            <a:gsLst>
              <a:gs pos="8000">
                <a:schemeClr val="tx1">
                  <a:lumMod val="95000"/>
                  <a:lumOff val="5000"/>
                </a:schemeClr>
              </a:gs>
              <a:gs pos="88000">
                <a:schemeClr val="tx1">
                  <a:lumMod val="95000"/>
                  <a:lumOff val="5000"/>
                </a:schemeClr>
              </a:gs>
              <a:gs pos="47000">
                <a:schemeClr val="tx1">
                  <a:lumMod val="75000"/>
                  <a:lumOff val="25000"/>
                </a:schemeClr>
              </a:gs>
            </a:gsLst>
            <a:lin ang="0" scaled="1"/>
          </a:gradFill>
          <a:ln>
            <a:solidFill>
              <a:schemeClr val="tx1">
                <a:lumMod val="95000"/>
                <a:lumOff val="5000"/>
              </a:schemeClr>
            </a:solidFill>
          </a:ln>
          <a:sp3d extrusionH="165100" contourW="12700" prstMaterial="powder">
            <a:contourClr>
              <a:schemeClr val="accent2">
                <a:lumMod val="7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</xdr:col>
      <xdr:colOff>311177</xdr:colOff>
      <xdr:row>6</xdr:row>
      <xdr:rowOff>148980</xdr:rowOff>
    </xdr:from>
    <xdr:to>
      <xdr:col>11</xdr:col>
      <xdr:colOff>19123</xdr:colOff>
      <xdr:row>24</xdr:row>
      <xdr:rowOff>175942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4108807" y="1262292"/>
          <a:ext cx="3542686" cy="3366897"/>
          <a:chOff x="4777740" y="312169"/>
          <a:chExt cx="4445769" cy="4050281"/>
        </a:xfrm>
      </xdr:grpSpPr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aphicFramePr>
            <a:graphicFrameLocks/>
          </xdr:cNvGraphicFramePr>
        </xdr:nvGraphicFramePr>
        <xdr:xfrm>
          <a:off x="4777740" y="426720"/>
          <a:ext cx="4434840" cy="393573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GraphicFramePr>
            <a:graphicFrameLocks/>
          </xdr:cNvGraphicFramePr>
        </xdr:nvGraphicFramePr>
        <xdr:xfrm>
          <a:off x="4779394" y="371697"/>
          <a:ext cx="4434840" cy="393573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aphicFramePr>
            <a:graphicFrameLocks/>
          </xdr:cNvGraphicFramePr>
        </xdr:nvGraphicFramePr>
        <xdr:xfrm>
          <a:off x="4902968" y="417417"/>
          <a:ext cx="4320541" cy="393573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5" name="Gráfico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aphicFramePr>
            <a:graphicFrameLocks/>
          </xdr:cNvGraphicFramePr>
        </xdr:nvGraphicFramePr>
        <xdr:xfrm>
          <a:off x="5092099" y="312169"/>
          <a:ext cx="3947160" cy="39357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6</xdr:col>
      <xdr:colOff>246139</xdr:colOff>
      <xdr:row>5</xdr:row>
      <xdr:rowOff>91704</xdr:rowOff>
    </xdr:from>
    <xdr:to>
      <xdr:col>11</xdr:col>
      <xdr:colOff>269239</xdr:colOff>
      <xdr:row>26</xdr:row>
      <xdr:rowOff>35563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100424</xdr:colOff>
      <xdr:row>5</xdr:row>
      <xdr:rowOff>70060</xdr:rowOff>
    </xdr:from>
    <xdr:to>
      <xdr:col>11</xdr:col>
      <xdr:colOff>123524</xdr:colOff>
      <xdr:row>26</xdr:row>
      <xdr:rowOff>13919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147492</xdr:colOff>
      <xdr:row>5</xdr:row>
      <xdr:rowOff>148931</xdr:rowOff>
    </xdr:from>
    <xdr:to>
      <xdr:col>11</xdr:col>
      <xdr:colOff>170592</xdr:colOff>
      <xdr:row>26</xdr:row>
      <xdr:rowOff>92790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238749</xdr:colOff>
      <xdr:row>5</xdr:row>
      <xdr:rowOff>160811</xdr:rowOff>
    </xdr:from>
    <xdr:to>
      <xdr:col>11</xdr:col>
      <xdr:colOff>261849</xdr:colOff>
      <xdr:row>26</xdr:row>
      <xdr:rowOff>104670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618506</xdr:colOff>
      <xdr:row>5</xdr:row>
      <xdr:rowOff>100941</xdr:rowOff>
    </xdr:from>
    <xdr:to>
      <xdr:col>12</xdr:col>
      <xdr:colOff>61850</xdr:colOff>
      <xdr:row>8</xdr:row>
      <xdr:rowOff>15719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8287987" y="472045"/>
          <a:ext cx="977240" cy="4714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s-MX" sz="2400" b="1">
              <a:solidFill>
                <a:srgbClr val="D10129"/>
              </a:solidFill>
              <a:latin typeface="Arial Nova" panose="020B0504020202020204" pitchFamily="34" charset="0"/>
            </a:rPr>
            <a:t>R.O</a:t>
          </a:r>
        </a:p>
      </xdr:txBody>
    </xdr:sp>
    <xdr:clientData/>
  </xdr:twoCellAnchor>
  <xdr:twoCellAnchor>
    <xdr:from>
      <xdr:col>10</xdr:col>
      <xdr:colOff>752623</xdr:colOff>
      <xdr:row>17</xdr:row>
      <xdr:rowOff>62730</xdr:rowOff>
    </xdr:from>
    <xdr:to>
      <xdr:col>12</xdr:col>
      <xdr:colOff>309254</xdr:colOff>
      <xdr:row>19</xdr:row>
      <xdr:rowOff>163060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8422104" y="2660457"/>
          <a:ext cx="1090527" cy="4714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s-MX" sz="2400" b="1">
              <a:solidFill>
                <a:srgbClr val="92D050"/>
              </a:solidFill>
              <a:latin typeface="Arial Nova" panose="020B0504020202020204" pitchFamily="34" charset="0"/>
            </a:rPr>
            <a:t>DT-SIS</a:t>
          </a:r>
        </a:p>
      </xdr:txBody>
    </xdr:sp>
    <xdr:clientData/>
  </xdr:twoCellAnchor>
  <xdr:twoCellAnchor>
    <xdr:from>
      <xdr:col>6</xdr:col>
      <xdr:colOff>122753</xdr:colOff>
      <xdr:row>24</xdr:row>
      <xdr:rowOff>137303</xdr:rowOff>
    </xdr:from>
    <xdr:to>
      <xdr:col>7</xdr:col>
      <xdr:colOff>569026</xdr:colOff>
      <xdr:row>27</xdr:row>
      <xdr:rowOff>52081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4724441" y="4219446"/>
          <a:ext cx="1213221" cy="4714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s-MX" sz="2400" b="1">
              <a:solidFill>
                <a:srgbClr val="7030A0"/>
              </a:solidFill>
              <a:latin typeface="Arial Nova" panose="020B0504020202020204" pitchFamily="34" charset="0"/>
            </a:rPr>
            <a:t>ROOC</a:t>
          </a:r>
        </a:p>
      </xdr:txBody>
    </xdr:sp>
    <xdr:clientData/>
  </xdr:twoCellAnchor>
  <xdr:twoCellAnchor>
    <xdr:from>
      <xdr:col>5</xdr:col>
      <xdr:colOff>118320</xdr:colOff>
      <xdr:row>11</xdr:row>
      <xdr:rowOff>124454</xdr:rowOff>
    </xdr:from>
    <xdr:to>
      <xdr:col>7</xdr:col>
      <xdr:colOff>964</xdr:colOff>
      <xdr:row>14</xdr:row>
      <xdr:rowOff>39233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3953060" y="1794422"/>
          <a:ext cx="1416540" cy="4714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s-MX" sz="2400" b="1">
              <a:solidFill>
                <a:srgbClr val="0070C0"/>
              </a:solidFill>
              <a:latin typeface="Arial Nova" panose="020B0504020202020204" pitchFamily="34" charset="0"/>
            </a:rPr>
            <a:t>RDR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647700</xdr:colOff>
          <xdr:row>6</xdr:row>
          <xdr:rowOff>19050</xdr:rowOff>
        </xdr:from>
        <xdr:to>
          <xdr:col>12</xdr:col>
          <xdr:colOff>171450</xdr:colOff>
          <xdr:row>7</xdr:row>
          <xdr:rowOff>57150</xdr:rowOff>
        </xdr:to>
        <xdr:sp macro="" textlink="">
          <xdr:nvSpPr>
            <xdr:cNvPr id="2050" name="Option 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17</xdr:row>
          <xdr:rowOff>180975</xdr:rowOff>
        </xdr:from>
        <xdr:to>
          <xdr:col>12</xdr:col>
          <xdr:colOff>647700</xdr:colOff>
          <xdr:row>19</xdr:row>
          <xdr:rowOff>19050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25</xdr:row>
          <xdr:rowOff>57150</xdr:rowOff>
        </xdr:from>
        <xdr:to>
          <xdr:col>6</xdr:col>
          <xdr:colOff>209550</xdr:colOff>
          <xdr:row>26</xdr:row>
          <xdr:rowOff>180975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638175</xdr:colOff>
          <xdr:row>12</xdr:row>
          <xdr:rowOff>38100</xdr:rowOff>
        </xdr:from>
        <xdr:to>
          <xdr:col>5</xdr:col>
          <xdr:colOff>238125</xdr:colOff>
          <xdr:row>13</xdr:row>
          <xdr:rowOff>66675</xdr:rowOff>
        </xdr:to>
        <xdr:sp macro="" textlink="">
          <xdr:nvSpPr>
            <xdr:cNvPr id="2053" name="Option 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16</xdr:row>
      <xdr:rowOff>38199</xdr:rowOff>
    </xdr:from>
    <xdr:to>
      <xdr:col>4</xdr:col>
      <xdr:colOff>148442</xdr:colOff>
      <xdr:row>31</xdr:row>
      <xdr:rowOff>132311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0" y="3007030"/>
          <a:ext cx="2572987" cy="2877391"/>
          <a:chOff x="129638" y="2005050"/>
          <a:chExt cx="2570316" cy="2877392"/>
        </a:xfrm>
      </xdr:grpSpPr>
      <xdr:grpSp>
        <xdr:nvGrpSpPr>
          <xdr:cNvPr id="2048" name="Grupo 2047">
            <a:extLst>
              <a:ext uri="{FF2B5EF4-FFF2-40B4-BE49-F238E27FC236}">
                <a16:creationId xmlns:a16="http://schemas.microsoft.com/office/drawing/2014/main" id="{00000000-0008-0000-0000-000000080000}"/>
              </a:ext>
            </a:extLst>
          </xdr:cNvPr>
          <xdr:cNvGrpSpPr/>
        </xdr:nvGrpSpPr>
        <xdr:grpSpPr>
          <a:xfrm>
            <a:off x="147650" y="2005050"/>
            <a:ext cx="2552304" cy="2877392"/>
            <a:chOff x="198120" y="1074420"/>
            <a:chExt cx="2628900" cy="2834640"/>
          </a:xfrm>
        </xdr:grpSpPr>
        <xdr:sp macro="" textlink="">
          <xdr:nvSpPr>
            <xdr:cNvPr id="28" name="Rectángulo: esquinas redondeadas 27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/>
          </xdr:nvSpPr>
          <xdr:spPr>
            <a:xfrm>
              <a:off x="198120" y="1074420"/>
              <a:ext cx="2628900" cy="2834640"/>
            </a:xfrm>
            <a:prstGeom prst="roundRect">
              <a:avLst/>
            </a:prstGeom>
            <a:solidFill>
              <a:schemeClr val="bg1"/>
            </a:solidFill>
            <a:ln w="38100">
              <a:solidFill>
                <a:srgbClr val="CC9900"/>
              </a:solidFill>
            </a:ln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 txBox="1"/>
          </xdr:nvSpPr>
          <xdr:spPr>
            <a:xfrm>
              <a:off x="341599" y="1272715"/>
              <a:ext cx="2304140" cy="3404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s-MX" sz="1400" b="1">
                  <a:solidFill>
                    <a:schemeClr val="tx1">
                      <a:lumMod val="95000"/>
                      <a:lumOff val="5000"/>
                    </a:schemeClr>
                  </a:solidFill>
                  <a:latin typeface="Arial Black" panose="020B0A04020102020204" pitchFamily="34" charset="0"/>
                </a:rPr>
                <a:t>EJECUCION ACTUAL</a:t>
              </a:r>
            </a:p>
          </xdr:txBody>
        </xdr:sp>
      </xdr:grpSp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GrpSpPr/>
        </xdr:nvGrpSpPr>
        <xdr:grpSpPr>
          <a:xfrm>
            <a:off x="129638" y="2285703"/>
            <a:ext cx="2369424" cy="2513908"/>
            <a:chOff x="243840" y="1379220"/>
            <a:chExt cx="2446020" cy="2476500"/>
          </a:xfrm>
        </xdr:grpSpPr>
        <xdr:graphicFrame macro="">
          <xdr:nvGraphicFramePr>
            <xdr:cNvPr id="30" name="Gráfico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GraphicFramePr>
              <a:graphicFrameLocks/>
            </xdr:cNvGraphicFramePr>
          </xdr:nvGraphicFramePr>
          <xdr:xfrm>
            <a:off x="243840" y="1379220"/>
            <a:ext cx="2446020" cy="2476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">
          <xdr:nvSpPr>
            <xdr:cNvPr id="25" name="Elipse 24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/>
          </xdr:nvSpPr>
          <xdr:spPr>
            <a:xfrm>
              <a:off x="1295400" y="2453640"/>
              <a:ext cx="360000" cy="360000"/>
            </a:xfrm>
            <a:prstGeom prst="ellipse">
              <a:avLst/>
            </a:prstGeom>
            <a:solidFill>
              <a:schemeClr val="tx1"/>
            </a:solidFill>
            <a:ln>
              <a:noFill/>
            </a:ln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Calculo!G3">
          <xdr:nvSpPr>
            <xdr:cNvPr id="26" name="CuadroTexto 25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 txBox="1"/>
          </xdr:nvSpPr>
          <xdr:spPr>
            <a:xfrm>
              <a:off x="929640" y="2859485"/>
              <a:ext cx="1226820" cy="5044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pPr algn="ctr"/>
              <a:fld id="{0120A094-1C8C-4DD8-A10B-B200173A75A6}" type="TxLink">
                <a:rPr lang="en-US" sz="2800" b="1" i="0" u="none" strike="noStrike">
                  <a:solidFill>
                    <a:schemeClr val="tx1">
                      <a:lumMod val="95000"/>
                      <a:lumOff val="5000"/>
                    </a:schemeClr>
                  </a:solidFill>
                  <a:latin typeface="Arial Narrow" panose="020B0606020202030204" pitchFamily="34" charset="0"/>
                  <a:cs typeface="Calibri"/>
                </a:rPr>
                <a:pPr algn="ctr"/>
                <a:t>51%</a:t>
              </a:fld>
              <a:endParaRPr lang="es-MX" sz="2800" b="1">
                <a:solidFill>
                  <a:schemeClr val="tx1">
                    <a:lumMod val="95000"/>
                    <a:lumOff val="5000"/>
                  </a:schemeClr>
                </a:solidFill>
                <a:latin typeface="Arial Narrow" panose="020B0606020202030204" pitchFamily="34" charset="0"/>
              </a:endParaRP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570954</xdr:colOff>
          <xdr:row>6</xdr:row>
          <xdr:rowOff>86689</xdr:rowOff>
        </xdr:from>
        <xdr:to>
          <xdr:col>17</xdr:col>
          <xdr:colOff>329786</xdr:colOff>
          <xdr:row>13</xdr:row>
          <xdr:rowOff>130785</xdr:rowOff>
        </xdr:to>
        <xdr:pic>
          <xdr:nvPicPr>
            <xdr:cNvPr id="37" name="Imagen 3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eming" spid="_x0000_s2223"/>
                </a:ext>
              </a:extLst>
            </xdr:cNvPicPr>
          </xdr:nvPicPr>
          <xdr:blipFill rotWithShape="1">
            <a:blip xmlns:r="http://schemas.openxmlformats.org/officeDocument/2006/relationships" r:embed="rId10"/>
            <a:srcRect r="66200"/>
            <a:stretch>
              <a:fillRect/>
            </a:stretch>
          </xdr:blipFill>
          <xdr:spPr bwMode="auto">
            <a:xfrm>
              <a:off x="10504168" y="1200001"/>
              <a:ext cx="2059676" cy="134295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570954</xdr:colOff>
          <xdr:row>14</xdr:row>
          <xdr:rowOff>65264</xdr:rowOff>
        </xdr:from>
        <xdr:to>
          <xdr:col>17</xdr:col>
          <xdr:colOff>329786</xdr:colOff>
          <xdr:row>21</xdr:row>
          <xdr:rowOff>109359</xdr:rowOff>
        </xdr:to>
        <xdr:pic>
          <xdr:nvPicPr>
            <xdr:cNvPr id="38" name="Imagen 37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eming" spid="_x0000_s2224"/>
                </a:ext>
              </a:extLst>
            </xdr:cNvPicPr>
          </xdr:nvPicPr>
          <xdr:blipFill rotWithShape="1">
            <a:blip xmlns:r="http://schemas.openxmlformats.org/officeDocument/2006/relationships" r:embed="rId11"/>
            <a:srcRect l="32831" t="1015" r="33369" b="-1015"/>
            <a:stretch>
              <a:fillRect/>
            </a:stretch>
          </xdr:blipFill>
          <xdr:spPr bwMode="auto">
            <a:xfrm>
              <a:off x="10504168" y="2662991"/>
              <a:ext cx="2059676" cy="134295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570954</xdr:colOff>
          <xdr:row>22</xdr:row>
          <xdr:rowOff>43838</xdr:rowOff>
        </xdr:from>
        <xdr:to>
          <xdr:col>17</xdr:col>
          <xdr:colOff>329786</xdr:colOff>
          <xdr:row>29</xdr:row>
          <xdr:rowOff>87934</xdr:rowOff>
        </xdr:to>
        <xdr:pic>
          <xdr:nvPicPr>
            <xdr:cNvPr id="39" name="Imagen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eming" spid="_x0000_s2225"/>
                </a:ext>
              </a:extLst>
            </xdr:cNvPicPr>
          </xdr:nvPicPr>
          <xdr:blipFill rotWithShape="1">
            <a:blip xmlns:r="http://schemas.openxmlformats.org/officeDocument/2006/relationships" r:embed="rId12"/>
            <a:srcRect l="66416" t="1015" r="-216" b="-1015"/>
            <a:stretch>
              <a:fillRect/>
            </a:stretch>
          </xdr:blipFill>
          <xdr:spPr bwMode="auto">
            <a:xfrm>
              <a:off x="10504168" y="4125981"/>
              <a:ext cx="2059676" cy="134295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14</xdr:col>
      <xdr:colOff>676597</xdr:colOff>
      <xdr:row>2</xdr:row>
      <xdr:rowOff>136072</xdr:rowOff>
    </xdr:from>
    <xdr:to>
      <xdr:col>18</xdr:col>
      <xdr:colOff>148442</xdr:colOff>
      <xdr:row>5</xdr:row>
      <xdr:rowOff>49311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 txBox="1"/>
      </xdr:nvSpPr>
      <xdr:spPr>
        <a:xfrm>
          <a:off x="10609811" y="507176"/>
          <a:ext cx="2539637" cy="4698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s-MX" sz="1800" b="1">
              <a:solidFill>
                <a:schemeClr val="tx1">
                  <a:lumMod val="95000"/>
                  <a:lumOff val="5000"/>
                </a:schemeClr>
              </a:solidFill>
              <a:latin typeface="Arial Nova" panose="020B0504020202020204" pitchFamily="34" charset="0"/>
            </a:rPr>
            <a:t>FASES DE EJECUCION</a:t>
          </a:r>
        </a:p>
      </xdr:txBody>
    </xdr:sp>
    <xdr:clientData/>
  </xdr:twoCellAnchor>
  <xdr:twoCellAnchor>
    <xdr:from>
      <xdr:col>5</xdr:col>
      <xdr:colOff>692727</xdr:colOff>
      <xdr:row>3</xdr:row>
      <xdr:rowOff>0</xdr:rowOff>
    </xdr:from>
    <xdr:to>
      <xdr:col>10</xdr:col>
      <xdr:colOff>705097</xdr:colOff>
      <xdr:row>5</xdr:row>
      <xdr:rowOff>98791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/>
      </xdr:nvSpPr>
      <xdr:spPr>
        <a:xfrm>
          <a:off x="4527467" y="0"/>
          <a:ext cx="3847111" cy="4698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s-MX" sz="1800" b="1">
              <a:solidFill>
                <a:sysClr val="windowText" lastClr="000000"/>
              </a:solidFill>
              <a:latin typeface="Arial Nova" panose="020B0504020202020204" pitchFamily="34" charset="0"/>
            </a:rPr>
            <a:t>FUENTE</a:t>
          </a:r>
          <a:r>
            <a:rPr lang="es-MX" sz="1800" b="1" baseline="0">
              <a:solidFill>
                <a:sysClr val="windowText" lastClr="000000"/>
              </a:solidFill>
              <a:latin typeface="Arial Nova" panose="020B0504020202020204" pitchFamily="34" charset="0"/>
            </a:rPr>
            <a:t> DE FINANCIAMIENTO</a:t>
          </a:r>
          <a:endParaRPr lang="es-MX" sz="1800" b="1">
            <a:solidFill>
              <a:sysClr val="windowText" lastClr="000000"/>
            </a:solidFill>
            <a:latin typeface="Arial Nova" panose="020B0504020202020204" pitchFamily="34" charset="0"/>
          </a:endParaRPr>
        </a:p>
      </xdr:txBody>
    </xdr:sp>
    <xdr:clientData/>
  </xdr:twoCellAnchor>
  <xdr:twoCellAnchor>
    <xdr:from>
      <xdr:col>4</xdr:col>
      <xdr:colOff>531915</xdr:colOff>
      <xdr:row>32</xdr:row>
      <xdr:rowOff>123702</xdr:rowOff>
    </xdr:from>
    <xdr:to>
      <xdr:col>13</xdr:col>
      <xdr:colOff>86591</xdr:colOff>
      <xdr:row>34</xdr:row>
      <xdr:rowOff>111331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E18685F4-9A16-4A71-B170-9A4216C5C4F0}"/>
            </a:ext>
          </a:extLst>
        </xdr:cNvPr>
        <xdr:cNvSpPr txBox="1"/>
      </xdr:nvSpPr>
      <xdr:spPr>
        <a:xfrm>
          <a:off x="2956460" y="6061364"/>
          <a:ext cx="6296397" cy="35873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/>
            <a:t>SELECCIONE EL FUENTE DE FINANCIAMIENTO QUE DESEA</a:t>
          </a:r>
          <a:r>
            <a:rPr lang="es-PE" sz="1400" b="1" baseline="0"/>
            <a:t> VISUALIZAR </a:t>
          </a:r>
          <a:endParaRPr lang="es-PE" sz="1400" b="1"/>
        </a:p>
      </xdr:txBody>
    </xdr:sp>
    <xdr:clientData/>
  </xdr:twoCellAnchor>
  <xdr:twoCellAnchor>
    <xdr:from>
      <xdr:col>4</xdr:col>
      <xdr:colOff>457695</xdr:colOff>
      <xdr:row>31</xdr:row>
      <xdr:rowOff>148441</xdr:rowOff>
    </xdr:from>
    <xdr:to>
      <xdr:col>13</xdr:col>
      <xdr:colOff>395844</xdr:colOff>
      <xdr:row>33</xdr:row>
      <xdr:rowOff>136071</xdr:rowOff>
    </xdr:to>
    <xdr:sp macro="" textlink="">
      <xdr:nvSpPr>
        <xdr:cNvPr id="14" name="Abrir llave 13">
          <a:extLst>
            <a:ext uri="{FF2B5EF4-FFF2-40B4-BE49-F238E27FC236}">
              <a16:creationId xmlns:a16="http://schemas.microsoft.com/office/drawing/2014/main" id="{897F3C25-4619-4027-ADA8-57A5F180384B}"/>
            </a:ext>
          </a:extLst>
        </xdr:cNvPr>
        <xdr:cNvSpPr/>
      </xdr:nvSpPr>
      <xdr:spPr>
        <a:xfrm rot="5400000">
          <a:off x="6042808" y="2739983"/>
          <a:ext cx="358734" cy="6679870"/>
        </a:xfrm>
        <a:prstGeom prst="leftBrac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127660</xdr:colOff>
      <xdr:row>31</xdr:row>
      <xdr:rowOff>16329</xdr:rowOff>
    </xdr:from>
    <xdr:to>
      <xdr:col>4</xdr:col>
      <xdr:colOff>222663</xdr:colOff>
      <xdr:row>33</xdr:row>
      <xdr:rowOff>3959</xdr:rowOff>
    </xdr:to>
    <xdr:sp macro="" textlink="">
      <xdr:nvSpPr>
        <xdr:cNvPr id="50" name="Abrir llave 49">
          <a:extLst>
            <a:ext uri="{FF2B5EF4-FFF2-40B4-BE49-F238E27FC236}">
              <a16:creationId xmlns:a16="http://schemas.microsoft.com/office/drawing/2014/main" id="{C20B7D22-E6C6-4BDE-99C1-5F9CAF7B7D6F}"/>
            </a:ext>
          </a:extLst>
        </xdr:cNvPr>
        <xdr:cNvSpPr/>
      </xdr:nvSpPr>
      <xdr:spPr>
        <a:xfrm rot="5400000">
          <a:off x="1208067" y="4688032"/>
          <a:ext cx="358734" cy="2519548"/>
        </a:xfrm>
        <a:prstGeom prst="leftBrac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98962</xdr:colOff>
      <xdr:row>32</xdr:row>
      <xdr:rowOff>28699</xdr:rowOff>
    </xdr:from>
    <xdr:to>
      <xdr:col>4</xdr:col>
      <xdr:colOff>197923</xdr:colOff>
      <xdr:row>35</xdr:row>
      <xdr:rowOff>49481</xdr:rowOff>
    </xdr:to>
    <xdr:sp macro="" textlink="">
      <xdr:nvSpPr>
        <xdr:cNvPr id="51" name="CuadroTexto 50">
          <a:extLst>
            <a:ext uri="{FF2B5EF4-FFF2-40B4-BE49-F238E27FC236}">
              <a16:creationId xmlns:a16="http://schemas.microsoft.com/office/drawing/2014/main" id="{28C12079-366B-45D8-A8D5-570F3945F481}"/>
            </a:ext>
          </a:extLst>
        </xdr:cNvPr>
        <xdr:cNvSpPr txBox="1"/>
      </xdr:nvSpPr>
      <xdr:spPr>
        <a:xfrm>
          <a:off x="98962" y="5966361"/>
          <a:ext cx="2523506" cy="5774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/>
            <a:t>SELECCION</a:t>
          </a:r>
          <a:r>
            <a:rPr lang="es-PE" sz="1400" b="1" baseline="0"/>
            <a:t> FILTRO DE G.G. Y MES</a:t>
          </a:r>
          <a:endParaRPr lang="es-PE" sz="1400" b="1"/>
        </a:p>
      </xdr:txBody>
    </xdr:sp>
    <xdr:clientData/>
  </xdr:twoCellAnchor>
  <xdr:twoCellAnchor>
    <xdr:from>
      <xdr:col>13</xdr:col>
      <xdr:colOff>593765</xdr:colOff>
      <xdr:row>31</xdr:row>
      <xdr:rowOff>143988</xdr:rowOff>
    </xdr:from>
    <xdr:to>
      <xdr:col>18</xdr:col>
      <xdr:colOff>222662</xdr:colOff>
      <xdr:row>33</xdr:row>
      <xdr:rowOff>131618</xdr:rowOff>
    </xdr:to>
    <xdr:sp macro="" textlink="">
      <xdr:nvSpPr>
        <xdr:cNvPr id="52" name="Abrir llave 51">
          <a:extLst>
            <a:ext uri="{FF2B5EF4-FFF2-40B4-BE49-F238E27FC236}">
              <a16:creationId xmlns:a16="http://schemas.microsoft.com/office/drawing/2014/main" id="{0BB57BA8-CEF6-467C-A596-8C72A6029F10}"/>
            </a:ext>
          </a:extLst>
        </xdr:cNvPr>
        <xdr:cNvSpPr/>
      </xdr:nvSpPr>
      <xdr:spPr>
        <a:xfrm rot="5400000">
          <a:off x="11312483" y="4343646"/>
          <a:ext cx="358734" cy="3463637"/>
        </a:xfrm>
        <a:prstGeom prst="leftBrace">
          <a:avLst>
            <a:gd name="adj1" fmla="val 8333"/>
            <a:gd name="adj2" fmla="val 49643"/>
          </a:avLst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13</xdr:col>
      <xdr:colOff>630878</xdr:colOff>
      <xdr:row>32</xdr:row>
      <xdr:rowOff>94508</xdr:rowOff>
    </xdr:from>
    <xdr:to>
      <xdr:col>18</xdr:col>
      <xdr:colOff>173182</xdr:colOff>
      <xdr:row>35</xdr:row>
      <xdr:rowOff>115290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9E488877-79E0-4C77-815E-36925FD2E7E7}"/>
            </a:ext>
          </a:extLst>
        </xdr:cNvPr>
        <xdr:cNvSpPr txBox="1"/>
      </xdr:nvSpPr>
      <xdr:spPr>
        <a:xfrm>
          <a:off x="9797144" y="6032170"/>
          <a:ext cx="3377044" cy="5774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/>
            <a:t>EJECUCION FASE CERTIFICADO, COMPROMISO ANUAL Y DEVENGADO</a:t>
          </a:r>
        </a:p>
      </xdr:txBody>
    </xdr:sp>
    <xdr:clientData/>
  </xdr:twoCellAnchor>
  <xdr:twoCellAnchor>
    <xdr:from>
      <xdr:col>5</xdr:col>
      <xdr:colOff>12370</xdr:colOff>
      <xdr:row>12</xdr:row>
      <xdr:rowOff>49481</xdr:rowOff>
    </xdr:from>
    <xdr:to>
      <xdr:col>5</xdr:col>
      <xdr:colOff>192370</xdr:colOff>
      <xdr:row>13</xdr:row>
      <xdr:rowOff>43929</xdr:rowOff>
    </xdr:to>
    <xdr:sp macro="" textlink="">
      <xdr:nvSpPr>
        <xdr:cNvPr id="15" name="Círculo: vacío 14">
          <a:extLst>
            <a:ext uri="{FF2B5EF4-FFF2-40B4-BE49-F238E27FC236}">
              <a16:creationId xmlns:a16="http://schemas.microsoft.com/office/drawing/2014/main" id="{3A8BB5B1-1310-48D8-A73E-63E93BA1D56E}"/>
            </a:ext>
          </a:extLst>
        </xdr:cNvPr>
        <xdr:cNvSpPr/>
      </xdr:nvSpPr>
      <xdr:spPr>
        <a:xfrm>
          <a:off x="3043052" y="2276104"/>
          <a:ext cx="180000" cy="180000"/>
        </a:xfrm>
        <a:prstGeom prst="donut">
          <a:avLst>
            <a:gd name="adj" fmla="val 6250"/>
          </a:avLst>
        </a:prstGeom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655618</xdr:colOff>
      <xdr:row>6</xdr:row>
      <xdr:rowOff>61850</xdr:rowOff>
    </xdr:from>
    <xdr:to>
      <xdr:col>12</xdr:col>
      <xdr:colOff>68670</xdr:colOff>
      <xdr:row>7</xdr:row>
      <xdr:rowOff>56298</xdr:rowOff>
    </xdr:to>
    <xdr:sp macro="" textlink="">
      <xdr:nvSpPr>
        <xdr:cNvPr id="54" name="Círculo: vacío 53">
          <a:extLst>
            <a:ext uri="{FF2B5EF4-FFF2-40B4-BE49-F238E27FC236}">
              <a16:creationId xmlns:a16="http://schemas.microsoft.com/office/drawing/2014/main" id="{0F905121-EA11-41D3-B35C-89BB56509F80}"/>
            </a:ext>
          </a:extLst>
        </xdr:cNvPr>
        <xdr:cNvSpPr/>
      </xdr:nvSpPr>
      <xdr:spPr>
        <a:xfrm>
          <a:off x="8287988" y="1175162"/>
          <a:ext cx="180000" cy="180000"/>
        </a:xfrm>
        <a:prstGeom prst="donut">
          <a:avLst>
            <a:gd name="adj" fmla="val 6250"/>
          </a:avLst>
        </a:prstGeom>
        <a:ln>
          <a:solidFill>
            <a:srgbClr val="FF0000"/>
          </a:solidFill>
        </a:ln>
        <a:effectLst>
          <a:glow rad="635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436915</xdr:colOff>
      <xdr:row>18</xdr:row>
      <xdr:rowOff>16328</xdr:rowOff>
    </xdr:from>
    <xdr:to>
      <xdr:col>12</xdr:col>
      <xdr:colOff>616915</xdr:colOff>
      <xdr:row>19</xdr:row>
      <xdr:rowOff>10776</xdr:rowOff>
    </xdr:to>
    <xdr:sp macro="" textlink="">
      <xdr:nvSpPr>
        <xdr:cNvPr id="55" name="Círculo: vacío 54">
          <a:extLst>
            <a:ext uri="{FF2B5EF4-FFF2-40B4-BE49-F238E27FC236}">
              <a16:creationId xmlns:a16="http://schemas.microsoft.com/office/drawing/2014/main" id="{A710F1EF-DE65-483F-8CC7-DC2D8923A65A}"/>
            </a:ext>
          </a:extLst>
        </xdr:cNvPr>
        <xdr:cNvSpPr/>
      </xdr:nvSpPr>
      <xdr:spPr>
        <a:xfrm>
          <a:off x="8836233" y="3356263"/>
          <a:ext cx="180000" cy="180000"/>
        </a:xfrm>
        <a:prstGeom prst="donut">
          <a:avLst>
            <a:gd name="adj" fmla="val 6250"/>
          </a:avLst>
        </a:prstGeom>
        <a:ln>
          <a:solidFill>
            <a:srgbClr val="00B050"/>
          </a:solidFill>
        </a:ln>
        <a:effectLst>
          <a:glow rad="635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675905</xdr:colOff>
      <xdr:row>25</xdr:row>
      <xdr:rowOff>119247</xdr:rowOff>
    </xdr:from>
    <xdr:to>
      <xdr:col>6</xdr:col>
      <xdr:colOff>88957</xdr:colOff>
      <xdr:row>26</xdr:row>
      <xdr:rowOff>113695</xdr:rowOff>
    </xdr:to>
    <xdr:sp macro="" textlink="">
      <xdr:nvSpPr>
        <xdr:cNvPr id="56" name="Círculo: vacío 55">
          <a:extLst>
            <a:ext uri="{FF2B5EF4-FFF2-40B4-BE49-F238E27FC236}">
              <a16:creationId xmlns:a16="http://schemas.microsoft.com/office/drawing/2014/main" id="{00A3F9B1-FEED-4BDE-A490-7B371CC17E30}"/>
            </a:ext>
          </a:extLst>
        </xdr:cNvPr>
        <xdr:cNvSpPr/>
      </xdr:nvSpPr>
      <xdr:spPr>
        <a:xfrm>
          <a:off x="3706587" y="4758046"/>
          <a:ext cx="180000" cy="180000"/>
        </a:xfrm>
        <a:prstGeom prst="donut">
          <a:avLst>
            <a:gd name="adj" fmla="val 6250"/>
          </a:avLst>
        </a:prstGeom>
        <a:ln>
          <a:solidFill>
            <a:srgbClr val="FF66CC"/>
          </a:solidFill>
        </a:ln>
        <a:effectLst>
          <a:glow rad="63500">
            <a:srgbClr val="FF66CC">
              <a:alpha val="4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2</xdr:row>
      <xdr:rowOff>136072</xdr:rowOff>
    </xdr:from>
    <xdr:to>
      <xdr:col>4</xdr:col>
      <xdr:colOff>333993</xdr:colOff>
      <xdr:row>15</xdr:row>
      <xdr:rowOff>12370</xdr:rowOff>
    </xdr:to>
    <xdr:grpSp>
      <xdr:nvGrpSpPr>
        <xdr:cNvPr id="20" name="Grupo 19"/>
        <xdr:cNvGrpSpPr/>
      </xdr:nvGrpSpPr>
      <xdr:grpSpPr>
        <a:xfrm>
          <a:off x="0" y="507176"/>
          <a:ext cx="2758538" cy="2288473"/>
          <a:chOff x="0" y="507176"/>
          <a:chExt cx="2758538" cy="228847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57" name="G.G."/>
              <xdr:cNvGraphicFramePr/>
            </xdr:nvGraphicFramePr>
            <xdr:xfrm>
              <a:off x="0" y="507176"/>
              <a:ext cx="2758538" cy="1513115"/>
            </xdr:xfrm>
            <a:graphic>
              <a:graphicData uri="http://schemas.microsoft.com/office/drawing/2010/slicer">
                <sle:slicer xmlns:sle="http://schemas.microsoft.com/office/drawing/2010/slicer" name="G.G.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507176"/>
                <a:ext cx="2758538" cy="151311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PE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58" name="FTE FTO"/>
              <xdr:cNvGraphicFramePr/>
            </xdr:nvGraphicFramePr>
            <xdr:xfrm>
              <a:off x="49480" y="2078182"/>
              <a:ext cx="2659578" cy="717467"/>
            </xdr:xfrm>
            <a:graphic>
              <a:graphicData uri="http://schemas.microsoft.com/office/drawing/2010/slicer">
                <sle:slicer xmlns:sle="http://schemas.microsoft.com/office/drawing/2010/slicer" name="FTE FT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9480" y="2078182"/>
                <a:ext cx="2659578" cy="717467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PE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1328054</xdr:colOff>
      <xdr:row>43</xdr:row>
      <xdr:rowOff>21772</xdr:rowOff>
    </xdr:from>
    <xdr:to>
      <xdr:col>2</xdr:col>
      <xdr:colOff>751112</xdr:colOff>
      <xdr:row>44</xdr:row>
      <xdr:rowOff>957943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783771</xdr:colOff>
      <xdr:row>43</xdr:row>
      <xdr:rowOff>1219200</xdr:rowOff>
    </xdr:from>
    <xdr:ext cx="1436914" cy="504433"/>
    <xdr:sp macro="" textlink="$H$10">
      <xdr:nvSpPr>
        <xdr:cNvPr id="9" name="CuadroText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1578428" y="9176657"/>
          <a:ext cx="1436914" cy="5044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F2A197E3-07F8-4A83-B674-2E23115037F5}" type="TxLink">
            <a:rPr lang="en-US" sz="2800" b="1" i="0" u="none" strike="noStrike">
              <a:solidFill>
                <a:srgbClr val="D10129"/>
              </a:solidFill>
              <a:latin typeface="Arial Narrow" panose="020B0606020202030204" pitchFamily="34" charset="0"/>
              <a:cs typeface="Calibri"/>
            </a:rPr>
            <a:pPr algn="ctr"/>
            <a:t>71%</a:t>
          </a:fld>
          <a:endParaRPr lang="es-MX" sz="2800" b="1">
            <a:solidFill>
              <a:srgbClr val="D10129"/>
            </a:solidFill>
            <a:latin typeface="Arial Narrow" panose="020B0606020202030204" pitchFamily="34" charset="0"/>
          </a:endParaRPr>
        </a:p>
      </xdr:txBody>
    </xdr:sp>
    <xdr:clientData/>
  </xdr:oneCellAnchor>
  <xdr:twoCellAnchor>
    <xdr:from>
      <xdr:col>1</xdr:col>
      <xdr:colOff>2721425</xdr:colOff>
      <xdr:row>43</xdr:row>
      <xdr:rowOff>0</xdr:rowOff>
    </xdr:from>
    <xdr:to>
      <xdr:col>3</xdr:col>
      <xdr:colOff>76197</xdr:colOff>
      <xdr:row>44</xdr:row>
      <xdr:rowOff>936171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</xdr:col>
      <xdr:colOff>729339</xdr:colOff>
      <xdr:row>43</xdr:row>
      <xdr:rowOff>1208314</xdr:rowOff>
    </xdr:from>
    <xdr:ext cx="1436914" cy="504433"/>
    <xdr:sp macro="" textlink="$I$10">
      <xdr:nvSpPr>
        <xdr:cNvPr id="11" name="CuadroText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4386939" y="9165771"/>
          <a:ext cx="1436914" cy="5044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29EB8D88-2AF7-48C8-B8C4-60C9CA8995BA}" type="TxLink">
            <a:rPr lang="en-US" sz="2800" b="1" i="0" u="none" strike="noStrike">
              <a:solidFill>
                <a:srgbClr val="D10129"/>
              </a:solidFill>
              <a:latin typeface="Arial Narrow" panose="020B0606020202030204" pitchFamily="34" charset="0"/>
              <a:ea typeface="+mn-ea"/>
              <a:cs typeface="Calibri"/>
            </a:rPr>
            <a:pPr marL="0" indent="0" algn="ctr"/>
            <a:t>69%</a:t>
          </a:fld>
          <a:endParaRPr lang="es-MX" sz="2800" b="1" i="0" u="none" strike="noStrike">
            <a:solidFill>
              <a:srgbClr val="D10129"/>
            </a:solidFill>
            <a:latin typeface="Arial Narrow" panose="020B0606020202030204" pitchFamily="34" charset="0"/>
            <a:ea typeface="+mn-ea"/>
            <a:cs typeface="Calibri"/>
          </a:endParaRPr>
        </a:p>
      </xdr:txBody>
    </xdr:sp>
    <xdr:clientData/>
  </xdr:oneCellAnchor>
  <xdr:twoCellAnchor>
    <xdr:from>
      <xdr:col>2</xdr:col>
      <xdr:colOff>2764969</xdr:colOff>
      <xdr:row>43</xdr:row>
      <xdr:rowOff>0</xdr:rowOff>
    </xdr:from>
    <xdr:to>
      <xdr:col>4</xdr:col>
      <xdr:colOff>119741</xdr:colOff>
      <xdr:row>44</xdr:row>
      <xdr:rowOff>936171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3</xdr:col>
      <xdr:colOff>772883</xdr:colOff>
      <xdr:row>43</xdr:row>
      <xdr:rowOff>1208314</xdr:rowOff>
    </xdr:from>
    <xdr:ext cx="1436914" cy="504433"/>
    <xdr:sp macro="" textlink="$J$10">
      <xdr:nvSpPr>
        <xdr:cNvPr id="13" name="CuadroText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8284026" y="9399814"/>
          <a:ext cx="1436914" cy="5044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0E560CA9-776C-446C-B5A8-B30DE996C311}" type="TxLink">
            <a:rPr lang="en-US" sz="2800" b="1" i="0" u="none" strike="noStrike">
              <a:solidFill>
                <a:srgbClr val="D10129"/>
              </a:solidFill>
              <a:latin typeface="Arial Narrow" panose="020B0606020202030204" pitchFamily="34" charset="0"/>
              <a:ea typeface="+mn-ea"/>
              <a:cs typeface="Calibri"/>
            </a:rPr>
            <a:pPr marL="0" indent="0" algn="ctr"/>
            <a:t>53%</a:t>
          </a:fld>
          <a:endParaRPr lang="es-MX" sz="2800" b="1" i="0" u="none" strike="noStrike">
            <a:solidFill>
              <a:srgbClr val="D10129"/>
            </a:solidFill>
            <a:latin typeface="Arial Narrow" panose="020B0606020202030204" pitchFamily="34" charset="0"/>
            <a:ea typeface="+mn-ea"/>
            <a:cs typeface="Calibri"/>
          </a:endParaRPr>
        </a:p>
      </xdr:txBody>
    </xdr:sp>
    <xdr:clientData/>
  </xdr:oneCellAnchor>
  <xdr:twoCellAnchor>
    <xdr:from>
      <xdr:col>0</xdr:col>
      <xdr:colOff>1338940</xdr:colOff>
      <xdr:row>44</xdr:row>
      <xdr:rowOff>21771</xdr:rowOff>
    </xdr:from>
    <xdr:to>
      <xdr:col>2</xdr:col>
      <xdr:colOff>761998</xdr:colOff>
      <xdr:row>45</xdr:row>
      <xdr:rowOff>957943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</xdr:col>
      <xdr:colOff>794657</xdr:colOff>
      <xdr:row>44</xdr:row>
      <xdr:rowOff>1219199</xdr:rowOff>
    </xdr:from>
    <xdr:ext cx="1436914" cy="504433"/>
    <xdr:sp macro="" textlink="$H$17">
      <xdr:nvSpPr>
        <xdr:cNvPr id="15" name="CuadroText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1589314" y="10983685"/>
          <a:ext cx="1436914" cy="5044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FA6F6F3F-E226-49D4-A063-ED7E8DF21539}" type="TxLink">
            <a:rPr lang="en-US" sz="2800" b="1" i="0" u="none" strike="noStrike">
              <a:solidFill>
                <a:schemeClr val="accent6">
                  <a:lumMod val="75000"/>
                </a:schemeClr>
              </a:solidFill>
              <a:latin typeface="Arial Narrow" panose="020B0606020202030204" pitchFamily="34" charset="0"/>
              <a:ea typeface="+mn-ea"/>
              <a:cs typeface="Calibri"/>
            </a:rPr>
            <a:pPr marL="0" indent="0" algn="ctr"/>
            <a:t>88%</a:t>
          </a:fld>
          <a:endParaRPr lang="es-MX" sz="2800" b="1" i="0" u="none" strike="noStrike">
            <a:solidFill>
              <a:schemeClr val="accent6">
                <a:lumMod val="75000"/>
              </a:schemeClr>
            </a:solidFill>
            <a:latin typeface="Arial Narrow" panose="020B0606020202030204" pitchFamily="34" charset="0"/>
            <a:ea typeface="+mn-ea"/>
            <a:cs typeface="Calibri"/>
          </a:endParaRPr>
        </a:p>
      </xdr:txBody>
    </xdr:sp>
    <xdr:clientData/>
  </xdr:oneCellAnchor>
  <xdr:twoCellAnchor>
    <xdr:from>
      <xdr:col>1</xdr:col>
      <xdr:colOff>2732311</xdr:colOff>
      <xdr:row>44</xdr:row>
      <xdr:rowOff>-1</xdr:rowOff>
    </xdr:from>
    <xdr:to>
      <xdr:col>3</xdr:col>
      <xdr:colOff>87083</xdr:colOff>
      <xdr:row>45</xdr:row>
      <xdr:rowOff>936171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740225</xdr:colOff>
      <xdr:row>44</xdr:row>
      <xdr:rowOff>1208313</xdr:rowOff>
    </xdr:from>
    <xdr:ext cx="1436914" cy="504433"/>
    <xdr:sp macro="" textlink="$I$17">
      <xdr:nvSpPr>
        <xdr:cNvPr id="17" name="CuadroTex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4397825" y="10972799"/>
          <a:ext cx="1436914" cy="5044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E4A7A84B-111D-4E27-A629-256F1159D868}" type="TxLink">
            <a:rPr lang="en-US" sz="2800" b="1" i="0" u="none" strike="noStrike">
              <a:solidFill>
                <a:schemeClr val="accent6">
                  <a:lumMod val="75000"/>
                </a:schemeClr>
              </a:solidFill>
              <a:latin typeface="Arial Narrow" panose="020B0606020202030204" pitchFamily="34" charset="0"/>
              <a:ea typeface="+mn-ea"/>
              <a:cs typeface="Calibri"/>
            </a:rPr>
            <a:pPr marL="0" indent="0" algn="ctr"/>
            <a:t>55%</a:t>
          </a:fld>
          <a:endParaRPr lang="es-MX" sz="2800" b="1" i="0" u="none" strike="noStrike">
            <a:solidFill>
              <a:schemeClr val="accent6">
                <a:lumMod val="75000"/>
              </a:schemeClr>
            </a:solidFill>
            <a:latin typeface="Arial Narrow" panose="020B0606020202030204" pitchFamily="34" charset="0"/>
            <a:ea typeface="+mn-ea"/>
            <a:cs typeface="Calibri"/>
          </a:endParaRPr>
        </a:p>
      </xdr:txBody>
    </xdr:sp>
    <xdr:clientData/>
  </xdr:oneCellAnchor>
  <xdr:twoCellAnchor>
    <xdr:from>
      <xdr:col>0</xdr:col>
      <xdr:colOff>1338938</xdr:colOff>
      <xdr:row>44</xdr:row>
      <xdr:rowOff>1796142</xdr:rowOff>
    </xdr:from>
    <xdr:to>
      <xdr:col>2</xdr:col>
      <xdr:colOff>761996</xdr:colOff>
      <xdr:row>46</xdr:row>
      <xdr:rowOff>925285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1</xdr:col>
      <xdr:colOff>794655</xdr:colOff>
      <xdr:row>45</xdr:row>
      <xdr:rowOff>1186542</xdr:rowOff>
    </xdr:from>
    <xdr:ext cx="1436914" cy="504433"/>
    <xdr:sp macro="" textlink="$H$23">
      <xdr:nvSpPr>
        <xdr:cNvPr id="19" name="CuadroText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/>
      </xdr:nvSpPr>
      <xdr:spPr>
        <a:xfrm>
          <a:off x="1589312" y="12758056"/>
          <a:ext cx="1436914" cy="5044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A43EF2CA-09C9-44AC-AB2D-32C72A53494F}" type="TxLink">
            <a:rPr lang="en-US" sz="2800" b="1" i="0" u="none" strike="noStrike">
              <a:solidFill>
                <a:srgbClr val="7030A0"/>
              </a:solidFill>
              <a:latin typeface="Arial Narrow" panose="020B0606020202030204" pitchFamily="34" charset="0"/>
              <a:ea typeface="+mn-ea"/>
              <a:cs typeface="Calibri"/>
            </a:rPr>
            <a:pPr marL="0" indent="0" algn="ctr"/>
            <a:t>92%</a:t>
          </a:fld>
          <a:endParaRPr lang="es-MX" sz="2800" b="1" i="0" u="none" strike="noStrike">
            <a:solidFill>
              <a:srgbClr val="7030A0"/>
            </a:solidFill>
            <a:latin typeface="Arial Narrow" panose="020B0606020202030204" pitchFamily="34" charset="0"/>
            <a:ea typeface="+mn-ea"/>
            <a:cs typeface="Calibri"/>
          </a:endParaRPr>
        </a:p>
      </xdr:txBody>
    </xdr:sp>
    <xdr:clientData/>
  </xdr:oneCellAnchor>
  <xdr:twoCellAnchor>
    <xdr:from>
      <xdr:col>0</xdr:col>
      <xdr:colOff>1317166</xdr:colOff>
      <xdr:row>46</xdr:row>
      <xdr:rowOff>10886</xdr:rowOff>
    </xdr:from>
    <xdr:to>
      <xdr:col>2</xdr:col>
      <xdr:colOff>740224</xdr:colOff>
      <xdr:row>52</xdr:row>
      <xdr:rowOff>21772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1</xdr:col>
      <xdr:colOff>772883</xdr:colOff>
      <xdr:row>46</xdr:row>
      <xdr:rowOff>1208314</xdr:rowOff>
    </xdr:from>
    <xdr:ext cx="1436914" cy="504433"/>
    <xdr:sp macro="" textlink="$H$28">
      <xdr:nvSpPr>
        <xdr:cNvPr id="21" name="CuadroText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1567540" y="14586857"/>
          <a:ext cx="1436914" cy="5044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C82648B9-EF34-456F-88DD-6DF7F7846022}" type="TxLink">
            <a:rPr lang="en-US" sz="2800" b="1" i="0" u="none" strike="noStrike">
              <a:solidFill>
                <a:schemeClr val="accent1">
                  <a:lumMod val="75000"/>
                </a:schemeClr>
              </a:solidFill>
              <a:latin typeface="Arial Narrow" panose="020B0606020202030204" pitchFamily="34" charset="0"/>
              <a:ea typeface="+mn-ea"/>
              <a:cs typeface="Calibri"/>
            </a:rPr>
            <a:pPr marL="0" indent="0" algn="ctr"/>
            <a:t>54%</a:t>
          </a:fld>
          <a:endParaRPr lang="es-MX" sz="2800" b="1" i="0" u="none" strike="noStrike">
            <a:solidFill>
              <a:schemeClr val="accent1">
                <a:lumMod val="75000"/>
              </a:schemeClr>
            </a:solidFill>
            <a:latin typeface="Arial Narrow" panose="020B0606020202030204" pitchFamily="34" charset="0"/>
            <a:ea typeface="+mn-ea"/>
            <a:cs typeface="Calibri"/>
          </a:endParaRPr>
        </a:p>
      </xdr:txBody>
    </xdr:sp>
    <xdr:clientData/>
  </xdr:oneCellAnchor>
  <xdr:twoCellAnchor>
    <xdr:from>
      <xdr:col>3</xdr:col>
      <xdr:colOff>0</xdr:colOff>
      <xdr:row>43</xdr:row>
      <xdr:rowOff>1687286</xdr:rowOff>
    </xdr:from>
    <xdr:to>
      <xdr:col>4</xdr:col>
      <xdr:colOff>130629</xdr:colOff>
      <xdr:row>45</xdr:row>
      <xdr:rowOff>827315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2190750</xdr:colOff>
      <xdr:row>45</xdr:row>
      <xdr:rowOff>81643</xdr:rowOff>
    </xdr:from>
    <xdr:to>
      <xdr:col>3</xdr:col>
      <xdr:colOff>797380</xdr:colOff>
      <xdr:row>46</xdr:row>
      <xdr:rowOff>1006929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2204357</xdr:colOff>
      <xdr:row>44</xdr:row>
      <xdr:rowOff>1700893</xdr:rowOff>
    </xdr:from>
    <xdr:to>
      <xdr:col>5</xdr:col>
      <xdr:colOff>48987</xdr:colOff>
      <xdr:row>46</xdr:row>
      <xdr:rowOff>830036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2177143</xdr:colOff>
      <xdr:row>45</xdr:row>
      <xdr:rowOff>1714501</xdr:rowOff>
    </xdr:from>
    <xdr:to>
      <xdr:col>3</xdr:col>
      <xdr:colOff>783773</xdr:colOff>
      <xdr:row>51</xdr:row>
      <xdr:rowOff>119744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2109107</xdr:colOff>
      <xdr:row>45</xdr:row>
      <xdr:rowOff>1619250</xdr:rowOff>
    </xdr:from>
    <xdr:to>
      <xdr:col>4</xdr:col>
      <xdr:colOff>715737</xdr:colOff>
      <xdr:row>51</xdr:row>
      <xdr:rowOff>24493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2</xdr:col>
      <xdr:colOff>759276</xdr:colOff>
      <xdr:row>45</xdr:row>
      <xdr:rowOff>1015092</xdr:rowOff>
    </xdr:from>
    <xdr:ext cx="1436914" cy="504433"/>
    <xdr:sp macro="" textlink="$I$23">
      <xdr:nvSpPr>
        <xdr:cNvPr id="27" name="CuadroText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5494562" y="12798878"/>
          <a:ext cx="1436914" cy="5044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663DC3C1-D1E2-4032-9C5A-3DE9805ED4C5}" type="TxLink">
            <a:rPr lang="en-US" sz="2800" b="1" i="0" u="none" strike="noStrike">
              <a:solidFill>
                <a:srgbClr val="7030A0"/>
              </a:solidFill>
              <a:latin typeface="Arial Narrow" panose="020B0606020202030204" pitchFamily="34" charset="0"/>
              <a:ea typeface="+mn-ea"/>
              <a:cs typeface="Calibri"/>
            </a:rPr>
            <a:pPr marL="0" indent="0" algn="ctr"/>
            <a:t>92%</a:t>
          </a:fld>
          <a:endParaRPr lang="es-MX" sz="2800" b="1" i="0" u="none" strike="noStrike">
            <a:solidFill>
              <a:srgbClr val="7030A0"/>
            </a:solidFill>
            <a:latin typeface="Arial Narrow" panose="020B0606020202030204" pitchFamily="34" charset="0"/>
            <a:ea typeface="+mn-ea"/>
            <a:cs typeface="Calibri"/>
          </a:endParaRPr>
        </a:p>
      </xdr:txBody>
    </xdr:sp>
    <xdr:clientData/>
  </xdr:oneCellAnchor>
  <xdr:oneCellAnchor>
    <xdr:from>
      <xdr:col>3</xdr:col>
      <xdr:colOff>830033</xdr:colOff>
      <xdr:row>45</xdr:row>
      <xdr:rowOff>990599</xdr:rowOff>
    </xdr:from>
    <xdr:ext cx="1436914" cy="504433"/>
    <xdr:sp macro="" textlink="$J$23">
      <xdr:nvSpPr>
        <xdr:cNvPr id="28" name="CuadroTexto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 txBox="1"/>
      </xdr:nvSpPr>
      <xdr:spPr>
        <a:xfrm>
          <a:off x="8341176" y="12774385"/>
          <a:ext cx="1436914" cy="5044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A34B641D-DDE0-412B-A75F-5A774086CCA0}" type="TxLink">
            <a:rPr lang="en-US" sz="2800" b="1" i="0" u="none" strike="noStrike">
              <a:solidFill>
                <a:srgbClr val="7030A0"/>
              </a:solidFill>
              <a:latin typeface="Arial Narrow" panose="020B0606020202030204" pitchFamily="34" charset="0"/>
              <a:ea typeface="+mn-ea"/>
              <a:cs typeface="Calibri"/>
            </a:rPr>
            <a:pPr marL="0" indent="0" algn="ctr"/>
            <a:t>39%</a:t>
          </a:fld>
          <a:endParaRPr lang="es-MX" sz="2800" b="1" i="0" u="none" strike="noStrike">
            <a:solidFill>
              <a:srgbClr val="7030A0"/>
            </a:solidFill>
            <a:latin typeface="Arial Narrow" panose="020B0606020202030204" pitchFamily="34" charset="0"/>
            <a:ea typeface="+mn-ea"/>
            <a:cs typeface="Calibri"/>
          </a:endParaRPr>
        </a:p>
      </xdr:txBody>
    </xdr:sp>
    <xdr:clientData/>
  </xdr:oneCellAnchor>
  <xdr:oneCellAnchor>
    <xdr:from>
      <xdr:col>2</xdr:col>
      <xdr:colOff>778325</xdr:colOff>
      <xdr:row>46</xdr:row>
      <xdr:rowOff>1102178</xdr:rowOff>
    </xdr:from>
    <xdr:ext cx="1436914" cy="504433"/>
    <xdr:sp macro="" textlink="$I$28">
      <xdr:nvSpPr>
        <xdr:cNvPr id="29" name="CuadroTexto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5513611" y="14682107"/>
          <a:ext cx="1436914" cy="5044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EC1ECF1D-5F1F-4EDB-924D-6F317F3C2AEB}" type="TxLink">
            <a:rPr lang="en-US" sz="2800" b="1" i="0" u="none" strike="noStrike">
              <a:solidFill>
                <a:schemeClr val="accent1">
                  <a:lumMod val="75000"/>
                </a:schemeClr>
              </a:solidFill>
              <a:latin typeface="Arial Narrow" panose="020B0606020202030204" pitchFamily="34" charset="0"/>
              <a:ea typeface="+mn-ea"/>
              <a:cs typeface="Calibri"/>
            </a:rPr>
            <a:pPr marL="0" indent="0" algn="ctr"/>
            <a:t>48%</a:t>
          </a:fld>
          <a:endParaRPr lang="es-MX" sz="2800" b="1" i="0" u="none" strike="noStrike">
            <a:solidFill>
              <a:schemeClr val="accent1">
                <a:lumMod val="75000"/>
              </a:schemeClr>
            </a:solidFill>
            <a:latin typeface="Arial Narrow" panose="020B0606020202030204" pitchFamily="34" charset="0"/>
            <a:ea typeface="+mn-ea"/>
            <a:cs typeface="Calibri"/>
          </a:endParaRPr>
        </a:p>
      </xdr:txBody>
    </xdr:sp>
    <xdr:clientData/>
  </xdr:oneCellAnchor>
  <xdr:oneCellAnchor>
    <xdr:from>
      <xdr:col>3</xdr:col>
      <xdr:colOff>713011</xdr:colOff>
      <xdr:row>46</xdr:row>
      <xdr:rowOff>1036864</xdr:rowOff>
    </xdr:from>
    <xdr:ext cx="1436914" cy="504433"/>
    <xdr:sp macro="" textlink="$J$28">
      <xdr:nvSpPr>
        <xdr:cNvPr id="30" name="CuadroTexto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8224154" y="14616793"/>
          <a:ext cx="1436914" cy="5044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B8EAC546-2A07-45DE-9311-AA3FF9F17D5D}" type="TxLink">
            <a:rPr lang="en-US" sz="2800" b="1" i="0" u="none" strike="noStrike">
              <a:solidFill>
                <a:schemeClr val="accent1">
                  <a:lumMod val="75000"/>
                </a:schemeClr>
              </a:solidFill>
              <a:latin typeface="Arial Narrow" panose="020B0606020202030204" pitchFamily="34" charset="0"/>
              <a:ea typeface="+mn-ea"/>
              <a:cs typeface="Calibri"/>
            </a:rPr>
            <a:pPr marL="0" indent="0" algn="ctr"/>
            <a:t>44%</a:t>
          </a:fld>
          <a:endParaRPr lang="es-MX" sz="2800" b="1" i="0" u="none" strike="noStrike">
            <a:solidFill>
              <a:schemeClr val="accent1">
                <a:lumMod val="75000"/>
              </a:schemeClr>
            </a:solidFill>
            <a:latin typeface="Arial Narrow" panose="020B0606020202030204" pitchFamily="34" charset="0"/>
            <a:ea typeface="+mn-ea"/>
            <a:cs typeface="Calibri"/>
          </a:endParaRPr>
        </a:p>
      </xdr:txBody>
    </xdr:sp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0.23752</cdr:x>
      <cdr:y>0.3921</cdr:y>
    </cdr:from>
    <cdr:to>
      <cdr:x>0.7319</cdr:x>
      <cdr:y>0.57672</cdr:y>
    </cdr:to>
    <cdr:sp macro="" textlink="Calculo!$J$17">
      <cdr:nvSpPr>
        <cdr:cNvPr id="2" name="CuadroTexto 16">
          <a:extLst xmlns:a="http://schemas.openxmlformats.org/drawingml/2006/main">
            <a:ext uri="{FF2B5EF4-FFF2-40B4-BE49-F238E27FC236}">
              <a16:creationId xmlns:a16="http://schemas.microsoft.com/office/drawing/2014/main" id="{00000000-0008-0000-0200-000011000000}"/>
            </a:ext>
          </a:extLst>
        </cdr:cNvPr>
        <cdr:cNvSpPr txBox="1"/>
      </cdr:nvSpPr>
      <cdr:spPr>
        <a:xfrm xmlns:a="http://schemas.openxmlformats.org/drawingml/2006/main">
          <a:off x="690336" y="1071338"/>
          <a:ext cx="1436914" cy="50443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 horzOverflow="clip" wrap="square" rtlCol="0" anchor="ctr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ctr"/>
          <a:fld id="{6E90F963-E64B-48B8-AAA6-E8CF69016FC9}" type="TxLink">
            <a:rPr lang="en-US" sz="2800" b="1" i="0" u="none" strike="noStrike">
              <a:solidFill>
                <a:schemeClr val="accent6">
                  <a:lumMod val="75000"/>
                </a:schemeClr>
              </a:solidFill>
              <a:latin typeface="Arial Narrow" panose="020B0606020202030204" pitchFamily="34" charset="0"/>
              <a:ea typeface="+mn-ea"/>
              <a:cs typeface="Calibri"/>
            </a:rPr>
            <a:pPr marL="0" indent="0" algn="ctr"/>
            <a:t>42%</a:t>
          </a:fld>
          <a:endParaRPr lang="es-MX" sz="2800" b="1" i="0" u="none" strike="noStrike">
            <a:solidFill>
              <a:schemeClr val="accent6">
                <a:lumMod val="75000"/>
              </a:schemeClr>
            </a:solidFill>
            <a:latin typeface="Arial Narrow" panose="020B0606020202030204" pitchFamily="34" charset="0"/>
            <a:ea typeface="+mn-ea"/>
            <a:cs typeface="Calibri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BASC%20Bogot&#225;/Procedimiento/2005/TRANSPORTES%20CENTROLIMA/Info%20auditoria%20CENTROLIMA%20nov-200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e Auditoria"/>
    </sheet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usb%2016-07-2021/REUNION%20JUEVES/BI-DASHBOARD%2002-08-2021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5" refreshedDate="44409.864726504631" createdVersion="6" refreshedVersion="6" minRefreshableVersion="3" recordCount="25">
  <cacheSource type="worksheet">
    <worksheetSource name="data"/>
  </cacheSource>
  <cacheFields count="16">
    <cacheField name="Proyecto" numFmtId="0">
      <sharedItems count="8">
        <s v="G.G. 2.1"/>
        <s v="G.G. 2.2"/>
        <s v="G.G. 2.3"/>
        <s v="G.G. 2.6"/>
        <s v="Proyecto 01" u="1"/>
        <s v="Proyecto 02" u="1"/>
        <s v="Proyecto 03" u="1"/>
        <s v="Proyecto 04" u="1"/>
      </sharedItems>
    </cacheField>
    <cacheField name="Fecha" numFmtId="0">
      <sharedItems containsSemiMixedTypes="0" containsNonDate="0" containsDate="1" containsString="0" minDate="2020-01-01T00:00:00" maxDate="2020-08-09T00:00:00" count="10">
        <d v="2020-01-01T00:00:00"/>
        <d v="2020-02-25T00:00:00"/>
        <d v="2020-04-20T00:00:00"/>
        <d v="2020-06-14T00:00:00"/>
        <d v="2020-08-08T00:00:00"/>
        <d v="2020-07-02T00:00:00"/>
        <d v="2020-02-26T00:00:00"/>
        <d v="2020-03-25T00:00:00"/>
        <d v="2020-05-14T00:00:00"/>
        <d v="2020-03-02T00:00:00"/>
      </sharedItems>
      <fieldGroup par="15" base="1">
        <rangePr groupBy="days" startDate="2020-01-01T00:00:00" endDate="2020-08-09T00:00:00"/>
        <groupItems count="368">
          <s v="&lt;01/01/2020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9/08/2020"/>
        </groupItems>
      </fieldGroup>
    </cacheField>
    <cacheField name="Planificar" numFmtId="9">
      <sharedItems containsSemiMixedTypes="0" containsString="0" containsNumber="1" minValue="0.20833333333333334" maxValue="0.83458333333333334"/>
    </cacheField>
    <cacheField name="Planificar: Criterio 01" numFmtId="9">
      <sharedItems containsSemiMixedTypes="0" containsString="0" containsNumber="1" minValue="0" maxValue="1"/>
    </cacheField>
    <cacheField name="Planificar: Criterio 02" numFmtId="9">
      <sharedItems containsSemiMixedTypes="0" containsString="0" containsNumber="1" minValue="0" maxValue="1"/>
    </cacheField>
    <cacheField name="Planificar: Criterio 03" numFmtId="9">
      <sharedItems containsSemiMixedTypes="0" containsString="0" containsNumber="1" minValue="0" maxValue="1"/>
    </cacheField>
    <cacheField name="Hacer" numFmtId="9">
      <sharedItems containsSemiMixedTypes="0" containsString="0" containsNumber="1" minValue="0.1" maxValue="0.75"/>
    </cacheField>
    <cacheField name="Hacer: Criterio 01" numFmtId="9">
      <sharedItems containsSemiMixedTypes="0" containsString="0" containsNumber="1" minValue="0" maxValue="1"/>
    </cacheField>
    <cacheField name="Hacer: Criterio 02" numFmtId="9">
      <sharedItems containsSemiMixedTypes="0" containsString="0" containsNumber="1" minValue="0" maxValue="0.875"/>
    </cacheField>
    <cacheField name="Verificar" numFmtId="9">
      <sharedItems containsSemiMixedTypes="0" containsString="0" containsNumber="1" minValue="0.125" maxValue="1"/>
    </cacheField>
    <cacheField name="Verificar: Criterio 01" numFmtId="9">
      <sharedItems containsSemiMixedTypes="0" containsString="0" containsNumber="1" minValue="0.125" maxValue="1"/>
    </cacheField>
    <cacheField name="Actuar" numFmtId="9">
      <sharedItems containsSemiMixedTypes="0" containsString="0" containsNumber="1" minValue="0.125" maxValue="1"/>
    </cacheField>
    <cacheField name="Actuar: Criterio 01" numFmtId="9">
      <sharedItems containsSemiMixedTypes="0" containsString="0" containsNumber="1" minValue="0.125" maxValue="1"/>
    </cacheField>
    <cacheField name="Meses" numFmtId="0" databaseField="0">
      <fieldGroup base="1">
        <rangePr groupBy="months" startDate="2020-01-01T00:00:00" endDate="2020-08-09T00:00:00"/>
        <groupItems count="14">
          <s v="&lt;01/01/2020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9/08/2020"/>
        </groupItems>
      </fieldGroup>
    </cacheField>
    <cacheField name="Trimestres" numFmtId="0" databaseField="0">
      <fieldGroup base="1">
        <rangePr groupBy="quarters" startDate="2020-01-01T00:00:00" endDate="2020-08-09T00:00:00"/>
        <groupItems count="6">
          <s v="&lt;01/01/2020"/>
          <s v="Trim.1"/>
          <s v="Trim.2"/>
          <s v="Trim.3"/>
          <s v="Trim.4"/>
          <s v="&gt;09/08/2020"/>
        </groupItems>
      </fieldGroup>
    </cacheField>
    <cacheField name="Años" numFmtId="0" databaseField="0">
      <fieldGroup base="1">
        <rangePr groupBy="years" startDate="2020-01-01T00:00:00" endDate="2020-08-09T00:00:00"/>
        <groupItems count="3">
          <s v="&lt;01/01/2020"/>
          <s v="2020"/>
          <s v="&gt;09/08/2020"/>
        </groupItems>
      </fieldGroup>
    </cacheField>
  </cacheFields>
  <extLst>
    <ext xmlns:x14="http://schemas.microsoft.com/office/spreadsheetml/2009/9/main" uri="{725AE2AE-9491-48be-B2B4-4EB974FC3084}">
      <x14:pivotCacheDefinition pivotCacheId="163325090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ministrativo HRA" refreshedDate="44410.61698564815" createdVersion="6" refreshedVersion="6" minRefreshableVersion="3" recordCount="1206">
  <cacheSource type="worksheet">
    <worksheetSource name="DATA" r:id="rId2"/>
  </cacheSource>
  <cacheFields count="105">
    <cacheField name="ano_eje" numFmtId="0">
      <sharedItems/>
    </cacheField>
    <cacheField name="nivel_gob" numFmtId="0">
      <sharedItems/>
    </cacheField>
    <cacheField name="sector" numFmtId="0">
      <sharedItems/>
    </cacheField>
    <cacheField name="pliego" numFmtId="0">
      <sharedItems/>
    </cacheField>
    <cacheField name="u_ejecutora" numFmtId="0">
      <sharedItems/>
    </cacheField>
    <cacheField name="sec_ejec" numFmtId="0">
      <sharedItems/>
    </cacheField>
    <cacheField name="programa_pptal" numFmtId="0">
      <sharedItems containsBlank="1" count="13">
        <s v="0129. PREVENCION Y MANEJO DE CONDICIONES SECUNDARIAS DE SALUD EN PERSONAS CON DISCAPACIDAD"/>
        <s v="9001. ACCIONES CENTRALES"/>
        <s v="9002. ASIGNACIONES PRESUPUESTARIAS QUE NO RESULTAN EN PRODUCTOS"/>
        <s v="0001. PROGRAMA ARTICULADO NUTRICIONAL"/>
        <s v="0002. SALUD MATERNO NEONATAL"/>
        <s v="0016. TBC-VIH/SIDA"/>
        <s v="0018. ENFERMEDADES NO TRANSMISIBLES"/>
        <s v="0024. PREVENCION Y CONTROL DEL CANCER"/>
        <s v="0068. REDUCCION DE VULNERABILIDAD Y ATENCION DE EMERGENCIAS POR DESASTRES"/>
        <s v="0104. REDUCCION DE LA MORTALIDAD POR EMERGENCIAS Y URGENCIAS MEDICAS"/>
        <s v="0131. CONTROL Y PREVENCION EN SALUD MENTAL"/>
        <s v="0017. ENFERMEDADES METAXENICAS Y ZOONOSIS"/>
        <m u="1"/>
      </sharedItems>
    </cacheField>
    <cacheField name="tipo_prod_proy" numFmtId="0">
      <sharedItems/>
    </cacheField>
    <cacheField name="producto_proyecto" numFmtId="0">
      <sharedItems/>
    </cacheField>
    <cacheField name="tipo_act_obra_ac" numFmtId="0">
      <sharedItems/>
    </cacheField>
    <cacheField name="activ_obra_accinv" numFmtId="0">
      <sharedItems/>
    </cacheField>
    <cacheField name="funcion" numFmtId="0">
      <sharedItems/>
    </cacheField>
    <cacheField name="division_fn" numFmtId="0">
      <sharedItems/>
    </cacheField>
    <cacheField name="grupo_fn" numFmtId="0">
      <sharedItems/>
    </cacheField>
    <cacheField name="meta" numFmtId="0">
      <sharedItems/>
    </cacheField>
    <cacheField name="finalidad" numFmtId="0">
      <sharedItems/>
    </cacheField>
    <cacheField name="unidad_medida" numFmtId="0">
      <sharedItems/>
    </cacheField>
    <cacheField name="cant_meta_anual" numFmtId="0">
      <sharedItems containsSemiMixedTypes="0" containsString="0" containsNumber="1" containsInteger="1" minValue="0" maxValue="500000"/>
    </cacheField>
    <cacheField name="cant_meta_sem" numFmtId="0">
      <sharedItems containsSemiMixedTypes="0" containsString="0" containsNumber="1" containsInteger="1" minValue="0" maxValue="250000"/>
    </cacheField>
    <cacheField name="avan_fisico_anual" numFmtId="0">
      <sharedItems containsSemiMixedTypes="0" containsString="0" containsNumber="1" minValue="0" maxValue="225000"/>
    </cacheField>
    <cacheField name="avan_fisico_sem" numFmtId="0">
      <sharedItems containsSemiMixedTypes="0" containsString="0" containsNumber="1" minValue="0" maxValue="225000"/>
    </cacheField>
    <cacheField name="sec_func" numFmtId="0">
      <sharedItems containsBlank="1" count="146">
        <s v="0100"/>
        <s v="0109"/>
        <s v="0110"/>
        <s v="0111"/>
        <s v="0112"/>
        <s v="0117"/>
        <s v="0010"/>
        <s v="0012"/>
        <s v="0013"/>
        <s v="0014"/>
        <s v="0016"/>
        <s v="0017"/>
        <s v="0018"/>
        <s v="0019"/>
        <s v="0020"/>
        <s v="0021"/>
        <s v="0022"/>
        <s v="0024"/>
        <s v="0025"/>
        <s v="0026"/>
        <s v="0030"/>
        <s v="0044"/>
        <s v="0053"/>
        <s v="0056"/>
        <s v="0058"/>
        <s v="0069"/>
        <s v="0090"/>
        <s v="0094"/>
        <s v="0096"/>
        <s v="0097"/>
        <s v="0098"/>
        <s v="0102"/>
        <s v="0113"/>
        <s v="0114"/>
        <s v="0115"/>
        <s v="0119"/>
        <s v="0120"/>
        <s v="0121"/>
        <s v="0122"/>
        <s v="0124"/>
        <s v="0125"/>
        <s v="0139"/>
        <s v="0140"/>
        <s v="0004"/>
        <s v="0015"/>
        <s v="0023"/>
        <s v="0049"/>
        <s v="0028"/>
        <s v="0127"/>
        <s v="0126"/>
        <s v="0123"/>
        <s v="0001"/>
        <s v="0138"/>
        <s v="0008"/>
        <s v="0116"/>
        <s v="0051"/>
        <s v="0087"/>
        <s v="0088"/>
        <s v="0091"/>
        <s v="0007"/>
        <s v="0041"/>
        <s v="0046"/>
        <s v="0092"/>
        <s v="0104"/>
        <s v="0105"/>
        <s v="0099"/>
        <s v="0002"/>
        <s v="0003"/>
        <s v="0005"/>
        <s v="0006"/>
        <s v="0009"/>
        <s v="0027"/>
        <s v="0031"/>
        <s v="0032"/>
        <s v="0038"/>
        <s v="0043"/>
        <s v="0048"/>
        <s v="0062"/>
        <s v="0086"/>
        <s v="0093"/>
        <s v="0101"/>
        <s v="0011"/>
        <s v="0039"/>
        <s v="0047"/>
        <s v="0052"/>
        <s v="0054"/>
        <s v="0055"/>
        <s v="0059"/>
        <s v="0060"/>
        <s v="0061"/>
        <s v="0072"/>
        <s v="0082"/>
        <s v="0083"/>
        <s v="0118"/>
        <s v="0078"/>
        <s v="0089"/>
        <s v="0033"/>
        <s v="0042"/>
        <s v="0133"/>
        <s v="0037"/>
        <s v="0075"/>
        <s v="0029"/>
        <s v="0034"/>
        <s v="0035"/>
        <s v="0036"/>
        <s v="0040"/>
        <s v="0045"/>
        <s v="0050"/>
        <s v="0057"/>
        <s v="0063"/>
        <s v="0064"/>
        <s v="0065"/>
        <s v="0066"/>
        <s v="0070"/>
        <s v="0071"/>
        <s v="0073"/>
        <s v="0074"/>
        <s v="0076"/>
        <s v="0077"/>
        <s v="0079"/>
        <s v="0080"/>
        <s v="0081"/>
        <s v="0084"/>
        <s v="0095"/>
        <s v="0103"/>
        <s v="0106"/>
        <s v="0107"/>
        <s v="0108"/>
        <s v="0067"/>
        <s v="0068"/>
        <s v="0085"/>
        <s v="0132"/>
        <s v="0137"/>
        <s v="0135"/>
        <s v="0142"/>
        <s v="0134"/>
        <s v="0143"/>
        <s v="0147"/>
        <m u="1"/>
        <s v="0146" u="1"/>
        <s v="0145" u="1"/>
        <s v="0144" u="1"/>
        <s v="0131" u="1"/>
        <s v="0130" u="1"/>
        <s v="0129" u="1"/>
        <s v="0128" u="1"/>
      </sharedItems>
    </cacheField>
    <cacheField name="departamento_meta" numFmtId="0">
      <sharedItems/>
    </cacheField>
    <cacheField name="provincia_meta" numFmtId="0">
      <sharedItems/>
    </cacheField>
    <cacheField name="distrito_meta" numFmtId="0">
      <sharedItems/>
    </cacheField>
    <cacheField name="fuente_financ" numFmtId="0">
      <sharedItems containsBlank="1" count="6">
        <s v="1. RECURSOS ORDINARIOS"/>
        <s v="2. RECURSOS DIRECTAMENTE RECAUDADOS"/>
        <s v="4. DONACIONES Y TRANSFERENCIAS"/>
        <s v="5. RECURSOS DETERMINADOS"/>
        <s v="3. RECURSOS POR OPERACIONES OFICIALES DE CREDITO"/>
        <m u="1"/>
      </sharedItems>
    </cacheField>
    <cacheField name="rubro" numFmtId="0">
      <sharedItems/>
    </cacheField>
    <cacheField name="categoria_gasto" numFmtId="0">
      <sharedItems/>
    </cacheField>
    <cacheField name="tipo_transaccion" numFmtId="0">
      <sharedItems/>
    </cacheField>
    <cacheField name="generica" numFmtId="0">
      <sharedItems containsBlank="1" count="6">
        <s v="1. PERSONAL Y OBLIGACIONES SOCIALES"/>
        <s v="2. PENSIONES Y OTRAS PRESTACIONES SOCIALES"/>
        <s v="3. BIENES Y SERVICIOS"/>
        <s v="6. ADQUISICION DE ACTIVOS NO FINANCIEROS"/>
        <m u="1"/>
        <s v="5. OTROS GASTOS" u="1"/>
      </sharedItems>
    </cacheField>
    <cacheField name="subgenerica" numFmtId="0">
      <sharedItems/>
    </cacheField>
    <cacheField name="subgenerica_det" numFmtId="0">
      <sharedItems/>
    </cacheField>
    <cacheField name="especifica" numFmtId="0">
      <sharedItems/>
    </cacheField>
    <cacheField name="especifica_det" numFmtId="0">
      <sharedItems/>
    </cacheField>
    <cacheField name="tipo_recurso" numFmtId="0">
      <sharedItems/>
    </cacheField>
    <cacheField name="mto_pia" numFmtId="0">
      <sharedItems containsSemiMixedTypes="0" containsString="0" containsNumber="1" containsInteger="1" minValue="0" maxValue="21551109"/>
    </cacheField>
    <cacheField name="mto_modificaciones" numFmtId="0">
      <sharedItems containsSemiMixedTypes="0" containsString="0" containsNumber="1" containsInteger="1" minValue="-4208448" maxValue="5544130"/>
    </cacheField>
    <cacheField name="mto_pim" numFmtId="0">
      <sharedItems containsSemiMixedTypes="0" containsString="0" containsNumber="1" containsInteger="1" minValue="0" maxValue="17342661"/>
    </cacheField>
    <cacheField name="mto_certificado" numFmtId="0">
      <sharedItems containsSemiMixedTypes="0" containsString="0" containsNumber="1" minValue="0" maxValue="16302141"/>
    </cacheField>
    <cacheField name="mto_compro_anual" numFmtId="0">
      <sharedItems containsSemiMixedTypes="0" containsString="0" containsNumber="1" minValue="0" maxValue="16302141"/>
    </cacheField>
    <cacheField name="mto_at_comp_01" numFmtId="0">
      <sharedItems containsSemiMixedTypes="0" containsString="0" containsNumber="1" minValue="0" maxValue="1157750.22"/>
    </cacheField>
    <cacheField name="mto_at_comp_02" numFmtId="0">
      <sharedItems containsSemiMixedTypes="0" containsString="0" containsNumber="1" minValue="0" maxValue="1258036.0900000001"/>
    </cacheField>
    <cacheField name="mto_at_comp_03" numFmtId="0">
      <sharedItems containsSemiMixedTypes="0" containsString="0" containsNumber="1" minValue="-14500" maxValue="1257635.8600000001"/>
    </cacheField>
    <cacheField name="mto_at_comp_04" numFmtId="0">
      <sharedItems containsSemiMixedTypes="0" containsString="0" containsNumber="1" minValue="-18889" maxValue="1736400"/>
    </cacheField>
    <cacheField name="mto_at_comp_05" numFmtId="0">
      <sharedItems containsSemiMixedTypes="0" containsString="0" containsNumber="1" minValue="0" maxValue="1665000"/>
    </cacheField>
    <cacheField name="mto_at_comp_06" numFmtId="0">
      <sharedItems containsSemiMixedTypes="0" containsString="0" containsNumber="1" minValue="-23840.799999999999" maxValue="1537202.79"/>
    </cacheField>
    <cacheField name="mto_at_comp_07" numFmtId="0">
      <sharedItems containsSemiMixedTypes="0" containsString="0" containsNumber="1" minValue="0" maxValue="1391366.42"/>
    </cacheField>
    <cacheField name="mto_at_comp_08" numFmtId="0">
      <sharedItems containsSemiMixedTypes="0" containsString="0" containsNumber="1" containsInteger="1" minValue="0" maxValue="0"/>
    </cacheField>
    <cacheField name="mto_at_comp_09" numFmtId="0">
      <sharedItems containsSemiMixedTypes="0" containsString="0" containsNumber="1" containsInteger="1" minValue="0" maxValue="0"/>
    </cacheField>
    <cacheField name="mto_at_comp_10" numFmtId="0">
      <sharedItems containsSemiMixedTypes="0" containsString="0" containsNumber="1" containsInteger="1" minValue="0" maxValue="0"/>
    </cacheField>
    <cacheField name="mto_at_comp_11" numFmtId="0">
      <sharedItems containsSemiMixedTypes="0" containsString="0" containsNumber="1" containsInteger="1" minValue="0" maxValue="0"/>
    </cacheField>
    <cacheField name="mto_at_comp_12" numFmtId="0">
      <sharedItems containsSemiMixedTypes="0" containsString="0" containsNumber="1" containsInteger="1" minValue="0" maxValue="0"/>
    </cacheField>
    <cacheField name="mto_devenga_01" numFmtId="0">
      <sharedItems containsSemiMixedTypes="0" containsString="0" containsNumber="1" minValue="0" maxValue="1157750.22"/>
    </cacheField>
    <cacheField name="mto_devenga_02" numFmtId="0">
      <sharedItems containsSemiMixedTypes="0" containsString="0" containsNumber="1" minValue="0" maxValue="1258036.0900000001"/>
    </cacheField>
    <cacheField name="mto_devenga_03" numFmtId="0">
      <sharedItems containsSemiMixedTypes="0" containsString="0" containsNumber="1" minValue="-14500" maxValue="1257635.8600000001"/>
    </cacheField>
    <cacheField name="mto_devenga_04" numFmtId="0">
      <sharedItems containsSemiMixedTypes="0" containsString="0" containsNumber="1" minValue="-186.57" maxValue="1434892.08"/>
    </cacheField>
    <cacheField name="mto_devenga_05" numFmtId="0">
      <sharedItems containsSemiMixedTypes="0" containsString="0" containsNumber="1" minValue="0" maxValue="1736400"/>
    </cacheField>
    <cacheField name="mto_devenga_06" numFmtId="0">
      <sharedItems containsSemiMixedTypes="0" containsString="0" containsNumber="1" minValue="-265.73" maxValue="1665000"/>
    </cacheField>
    <cacheField name="mto_devenga_07" numFmtId="0">
      <sharedItems containsSemiMixedTypes="0" containsString="0" containsNumber="1" minValue="0" maxValue="1391366.42"/>
    </cacheField>
    <cacheField name="mto_devenga_08" numFmtId="0">
      <sharedItems containsSemiMixedTypes="0" containsString="0" containsNumber="1" containsInteger="1" minValue="0" maxValue="0"/>
    </cacheField>
    <cacheField name="mto_devenga_09" numFmtId="0">
      <sharedItems containsSemiMixedTypes="0" containsString="0" containsNumber="1" containsInteger="1" minValue="0" maxValue="0"/>
    </cacheField>
    <cacheField name="mto_devenga_10" numFmtId="0">
      <sharedItems containsSemiMixedTypes="0" containsString="0" containsNumber="1" containsInteger="1" minValue="0" maxValue="0"/>
    </cacheField>
    <cacheField name="mto_devenga_11" numFmtId="0">
      <sharedItems containsSemiMixedTypes="0" containsString="0" containsNumber="1" containsInteger="1" minValue="0" maxValue="0"/>
    </cacheField>
    <cacheField name="mto_devenga_12" numFmtId="0">
      <sharedItems containsSemiMixedTypes="0" containsString="0" containsNumber="1" containsInteger="1" minValue="0" maxValue="0"/>
    </cacheField>
    <cacheField name="mto_girado_01" numFmtId="0">
      <sharedItems containsSemiMixedTypes="0" containsString="0" containsNumber="1" minValue="0" maxValue="221494"/>
    </cacheField>
    <cacheField name="mto_girado_02" numFmtId="0">
      <sharedItems containsSemiMixedTypes="0" containsString="0" containsNumber="1" minValue="0" maxValue="1169491.49"/>
    </cacheField>
    <cacheField name="mto_girado_03" numFmtId="0">
      <sharedItems containsSemiMixedTypes="0" containsString="0" containsNumber="1" minValue="0" maxValue="2111953.59"/>
    </cacheField>
    <cacheField name="mto_girado_04" numFmtId="0">
      <sharedItems containsSemiMixedTypes="0" containsString="0" containsNumber="1" minValue="-182.4" maxValue="1222129.94"/>
    </cacheField>
    <cacheField name="mto_girado_05" numFmtId="0">
      <sharedItems containsSemiMixedTypes="0" containsString="0" containsNumber="1" minValue="0" maxValue="1874459.43"/>
    </cacheField>
    <cacheField name="mto_girado_06" numFmtId="0">
      <sharedItems containsSemiMixedTypes="0" containsString="0" containsNumber="1" minValue="-738.17" maxValue="1082249.52"/>
    </cacheField>
    <cacheField name="mto_girado_07" numFmtId="0">
      <sharedItems containsSemiMixedTypes="0" containsString="0" containsNumber="1" minValue="-89" maxValue="1676414.36"/>
    </cacheField>
    <cacheField name="mto_girado_08" numFmtId="0">
      <sharedItems containsSemiMixedTypes="0" containsString="0" containsNumber="1" containsInteger="1" minValue="0" maxValue="0"/>
    </cacheField>
    <cacheField name="mto_girado_09" numFmtId="0">
      <sharedItems containsSemiMixedTypes="0" containsString="0" containsNumber="1" containsInteger="1" minValue="0" maxValue="0"/>
    </cacheField>
    <cacheField name="mto_girado_10" numFmtId="0">
      <sharedItems containsSemiMixedTypes="0" containsString="0" containsNumber="1" containsInteger="1" minValue="0" maxValue="0"/>
    </cacheField>
    <cacheField name="mto_girado_11" numFmtId="0">
      <sharedItems containsSemiMixedTypes="0" containsString="0" containsNumber="1" containsInteger="1" minValue="0" maxValue="0"/>
    </cacheField>
    <cacheField name="mto_girado_12" numFmtId="0">
      <sharedItems containsSemiMixedTypes="0" containsString="0" containsNumber="1" containsInteger="1" minValue="0" maxValue="0"/>
    </cacheField>
    <cacheField name="mto_pagado_01" numFmtId="0">
      <sharedItems containsSemiMixedTypes="0" containsString="0" containsNumber="1" minValue="0" maxValue="221494"/>
    </cacheField>
    <cacheField name="mto_pagado_02" numFmtId="0">
      <sharedItems containsSemiMixedTypes="0" containsString="0" containsNumber="1" minValue="0" maxValue="1141276.3600000001"/>
    </cacheField>
    <cacheField name="mto_pagado_03" numFmtId="0">
      <sharedItems containsSemiMixedTypes="0" containsString="0" containsNumber="1" minValue="0" maxValue="2112287.96"/>
    </cacheField>
    <cacheField name="mto_pagado_04" numFmtId="0">
      <sharedItems containsSemiMixedTypes="0" containsString="0" containsNumber="1" minValue="0" maxValue="1213258.4099999999"/>
    </cacheField>
    <cacheField name="mto_pagado_05" numFmtId="0">
      <sharedItems containsSemiMixedTypes="0" containsString="0" containsNumber="1" minValue="0" maxValue="1874912.87"/>
    </cacheField>
    <cacheField name="mto_pagado_06" numFmtId="0">
      <sharedItems containsSemiMixedTypes="0" containsString="0" containsNumber="1" minValue="0" maxValue="1084674.8"/>
    </cacheField>
    <cacheField name="mto_pagado_07" numFmtId="0">
      <sharedItems containsSemiMixedTypes="0" containsString="0" containsNumber="1" minValue="0" maxValue="1674992.36"/>
    </cacheField>
    <cacheField name="mto_pagado_08" numFmtId="0">
      <sharedItems containsSemiMixedTypes="0" containsString="0" containsNumber="1" containsInteger="1" minValue="0" maxValue="0"/>
    </cacheField>
    <cacheField name="mto_pagado_09" numFmtId="0">
      <sharedItems containsSemiMixedTypes="0" containsString="0" containsNumber="1" containsInteger="1" minValue="0" maxValue="0"/>
    </cacheField>
    <cacheField name="mto_pagado_10" numFmtId="0">
      <sharedItems containsSemiMixedTypes="0" containsString="0" containsNumber="1" containsInteger="1" minValue="0" maxValue="0"/>
    </cacheField>
    <cacheField name="mto_pagado_11" numFmtId="0">
      <sharedItems containsSemiMixedTypes="0" containsString="0" containsNumber="1" containsInteger="1" minValue="0" maxValue="0"/>
    </cacheField>
    <cacheField name="mto_pagado_12" numFmtId="0">
      <sharedItems containsSemiMixedTypes="0" containsString="0" containsNumber="1" containsInteger="1" minValue="0" maxValue="0"/>
    </cacheField>
    <cacheField name="FTE FTO" numFmtId="0">
      <sharedItems count="5">
        <s v="00"/>
        <s v="09"/>
        <s v="13"/>
        <s v="18"/>
        <s v="19"/>
      </sharedItems>
    </cacheField>
    <cacheField name="CLASIFICADOR" numFmtId="0">
      <sharedItems containsBlank="1" count="128">
        <s v="21 1 1 1 2. PERSONAL ADMINISTRATIVO NOMBRADO (REGIMEN PUBLICO)"/>
        <s v="21 1 1 1 3. PERSONAL CON CONTRATO A PLAZO FIJO (REGIMEN LABORAL PUBLICO)"/>
        <s v="21 1 1 1 9. PERSONAL DE CONFIANZA (RÉGIMEN LABORAL PÚBLICO)"/>
        <s v="21 1 1 2 1. ASIGNACION A FONDOS PARA PERSONAL"/>
        <s v="21 1 1 299. OTRAS RETRIBUCIONES Y COMPLEMENTOS"/>
        <s v="21 1 3 1 1. PERSONAL NOMBRADO"/>
        <s v="21 1 3 1 2. PERSONAL CONTRATADO"/>
        <s v="21 1 3 1 5. PERSONAL POR SERVICIOS COMPLEMENTARIOS DE SALUD"/>
        <s v="21 1 3 2 1. PERSONAL NOMBRADO"/>
        <s v="21 1 3 2 2. PERSONAL CONTRATADO"/>
        <s v="21 1 3 3 1. GUARDIAS HOSPITALARIAS"/>
        <s v="21 1 3 3 3. BONIFICACIONES O ENTREGAS ECONOMICAS AL PUESTO DE PROFESIONALES DE LA SALUD"/>
        <s v="21 1 3 3 4. BONIFICACIONES O ENTREGAS  ECONÓMICAS AL PUESTO DE NO PROFESIONALES DE LA SALUD"/>
        <s v="21 1 9 1 2. AGUINALDOS"/>
        <s v="21 1 9 1 3. BONIFICACION POR ESCOLARIDAD"/>
        <s v="21 1 9 2 1. COMPENSACION POR TIEMPO DE SERVICIOS (CTS)"/>
        <s v="21 1 9 3 1. ASIGNACION POR CUMPLIR 25 O 30 AÑOS"/>
        <s v="21 3 1 1 5. CONTRIBUCIONES A ESSALUD"/>
        <s v="22 1 1 1 1. REGIMEN DE PENSIONES DL. 20530"/>
        <s v="22 1 1 2 1. ESCOLARIDAD, AGUINALDOS Y GRATIFICACIONES"/>
        <s v="22 2 3 4 2. GASTOS DE SEPELIO Y LUTO DEL PERSONAL ACTIVO"/>
        <s v="23 1 1 1 1. ALIMENTOS Y BEBIDAS PARA CONSUMO HUMANO"/>
        <s v="23 1 2 1 1. VESTUARIO, ACCESORIOS Y PRENDAS DIVERSAS"/>
        <s v="23 1 2 1 2. TEXTILES Y ACABADOS TEXTILES"/>
        <s v="23 1 2 1 3. CALZADO"/>
        <s v="23 1 3 1 1. COMBUSTIBLES Y CARBURANTES"/>
        <s v="23 1 3 1 2. GASES"/>
        <s v="23 1 5 1 2. PAPELERIA EN GENERAL, UTILES Y MATERIALES DE OFICINA"/>
        <s v="23 1 5 3 1. ASEO, LIMPIEZA Y TOCADOR"/>
        <s v="23 1 5 4 1. ELECTRICIDAD, ILUMINACION Y ELECTRONICA"/>
        <s v="23 1 59999. OTROS"/>
        <s v="23 1 6 1 1. DE VEHICULOS"/>
        <s v="23 1 6 1 4. DE SEGURIDAD"/>
        <s v="23 1 6 199. OTROS ACCESORIOS Y REPUESTOS"/>
        <s v="23 1 7 1 1. ENSERES"/>
        <s v="23 1 8 1 2. MEDICAMENTOS"/>
        <s v="23 1 8 2 1. MATERIAL, INSUMOS, INSTRUMENTAL Y ACCESORIOS  MEDICOS, QUIRURGICOS, ODONTOLOGICOS Y DE LABORATORIO"/>
        <s v="23 1 9 1 2. MATERIAL DIDACTICO, ACCESORIOS Y UTILES DE ENSEÑANZA"/>
        <s v="23 1 9 199. OTROS MATERIALES DIVERSOS DE ENSEÑANZA"/>
        <s v="23 111 1 1. PARA EDIFICIOS Y ESTRUCTURAS"/>
        <s v="23 111 1 2. PARA VEHICULOS"/>
        <s v="23 111 1 5. OTROS MATERIALES DE MANTENIMIENTO"/>
        <s v="23 199 1 3. LIBROS, DIARIOS, REVISTAS Y OTROS BIENES IMPRESOS NO VINCULADOS A ENSEÑANZA"/>
        <s v="23 199 199. OTROS BIENES"/>
        <s v="23 2 1 2 1. PASAJES Y GASTOS DE TRANSPORTE"/>
        <s v="23 2 1 2 2. VIATICOS Y ASIGNACIONES POR COMISION DE SERVICIO"/>
        <s v="23 2 2 1 1. SERVICIO DE SUMINISTRO DE ENERGIA ELECTRICA"/>
        <s v="23 2 2 1 2. SERVICIO DE AGUA Y DESAGUE"/>
        <s v="23 2 2 2 1. SERVICIO DE TELEFONIA MOVIL"/>
        <s v="23 2 2 2 2. SERVICIO DE TELEFONIA FIJA"/>
        <s v="23 2 2 2 3. SERVICIO DE INTERNET"/>
        <s v="23 2 2 3 1. CORREOS Y SERVICIOS DE MENSAJERIA"/>
        <s v="23 2 2 399. OTROS SERVICIOS DE COMUNICACION"/>
        <s v="23 2 3 1 1. SERVICIOS DE LIMPIEZA E HIGIENE"/>
        <s v="23 2 3 1 2. SERVICIOS DE SEGURIDAD Y VIGILANCIA"/>
        <s v="23 2 4 2 1. DE EDIFICACIONES, OFICINAS Y ESTRUCTURAS"/>
        <s v="23 2 4 5 1. DE VEHICULOS"/>
        <s v="23 2 4 7 1. DE MAQUINARIAS Y EQUIPOS"/>
        <s v="23 2 6 1 2. GASTOS NOTARIALES"/>
        <s v="23 2 6 3 4. OTROS SEGUROS PERSONALES"/>
        <s v="23 2 7 2 7. SERVICIOS COMPLEMENTARIOS DE SALUD"/>
        <s v="23 2 7 3 1. REALIZADO POR PERSONAS JURIDICAS"/>
        <s v="23 2 7 5 7. INTERNOS DE MEDICINA Y ODONTOLOGIA"/>
        <s v="23 2 7 7 1. SERVICIOS RELACIONADOS CON EL MEDIO AMBIENTE"/>
        <s v="23 2 711 2. TRANSPORTE Y TRASLADO DE CARGA, BIENES Y MATERIALES"/>
        <s v="23 2 711 5. SERVICIOS DE ALIMENTACION DE CONSUMO HUMANO"/>
        <s v="23 2 711 6. SERVICIO DE IMPRESIONES, ENCUADERNACION Y EMPASTADO"/>
        <s v="23 2 71199. SERVICIOS DIVERSOS"/>
        <s v="23 2 8 1 1. CONTRATO ADMINISTRATIVO DE SERVICIOS"/>
        <s v="23 2 8 1 2. CONTRIBUCIONES A ESSALUD DE C.A.S."/>
        <s v="23 2 8 1 4. AGUINALDOS DE C.A.S."/>
        <s v="23 2 9 1 1. LOCACIÓN DE SERVICIOS REALIZADOS POR PERSONAS NATURALES RELACIONADAS AL ROL DE LA ENTIDAD"/>
        <s v="26 3 2 3 1. EQUIPOS COMPUTACIONALES Y PERIFERICOS"/>
        <s v="26 3 2 3 3. EQUIPOS DE TELECOMUNICACIONES"/>
        <s v="26 6 1 3 2. SOFTWARES"/>
        <s v="23 1 3 1 3. LUBRICANTES, GRASAS Y AFINES"/>
        <s v="23 1 5 1 1. REPUESTOS Y ACCESORIOS"/>
        <s v="23 1 5 3 2. DE COCINA, COMEDOR Y CAFETERIA"/>
        <s v="23 1 6 1 2. DE COMUNICACIONES Y TELECOMUNICACIONES"/>
        <s v="23 1 6 1 3. DE CONSTRUCCION Y MAQUINAS"/>
        <s v="23 1 8 199. OTROS PRODUCTOS SIMILARES"/>
        <s v="23 111 1 4. PARA MAQUINARIAS Y EQUIPOS"/>
        <s v="23 111 1 6. MATERIALES DE  ACONDICIONAMIENTO"/>
        <s v="23 199 1 1. HERRAMIENTAS"/>
        <s v="23 199 1 4. SIMBOLOS, DISTINTIVOS Y CONDECORACIONES"/>
        <s v="23 2 2 4 1. SERVICIO DE PUBLICIDAD"/>
        <s v="23 2 2 4 3. SERVICIOS DE IMAGEN INSTITUCIONAL"/>
        <s v="23 2 49999. DE OTROS BIENES Y ACTIVOS"/>
        <s v="23 2 5 1 1. DE EDIFICIOS Y ESTRUCTURAS"/>
        <s v="23 2 5 1 2. DE VEHICULOS"/>
        <s v="23 2 5 1 3. DE MOBILIARIO Y SIMILARES"/>
        <s v="23 2 5 1 4. DE MAQUINARIAS Y EQUIPOS"/>
        <s v="23 2 6 1 1. GASTOS LEGALES Y JUDICIALES"/>
        <s v="23 2 6 299. OTROS SERVICIOS FINANCIEROS"/>
        <s v="23 2 7 299. OTROS SERVICIOS SIMILARES"/>
        <s v="23 2 7 499. OTROS SERVICIOS DE INFORMATICA"/>
        <s v="23 2 711 1. EMBALAJE Y ALMACENAJE"/>
        <s v="23 2 711 3. SERVICIOS RELACIONADOS CON FLORERIA, JARDINERIA Y OTRAS ACTIVIDADES SIMILARES"/>
        <s v="26 3 2 1 2. MOBILIARIO"/>
        <s v="26 3 2 4 1. MOBILIARIO"/>
        <s v="26 3 2 4 2. EQUIPOS"/>
        <s v="26 3 2 9 1. AIRE ACONDICIONADO Y REFRIGERACION"/>
        <s v="26 3 2 9 2. ASEO,  LIMPIEZA Y COCINA"/>
        <s v="26 3 2 9 5. EQUIPOS E INSTRUMENTOS DE MEDICION"/>
        <s v="26 3 2 999. MAQUINARIAS, EQUIPOS Y MOBILIARIOS DE OTRAS INSTALACIONES"/>
        <s v="23 199 1 5. ADQUISICIÓN DE BIENES PARA PRESTACIÓN FUNERARIA"/>
        <s v="23 2 6 3 3. SEGURO OBLIGATORIO ACCIDENTES DE TRANSITO (SOAT)"/>
        <s v="23 2 711 7. PRESTACION FUNERARIA"/>
        <s v="21 1 3 3 9. BONIFICACIÓN EXTRAORDINARIA POR EMERGENCIA SANITARIA"/>
        <s v="21 1 9 310. BONIFICACIÓN EXTRAORDINARIA POR REACTIVACIÓN ECONÓMICA"/>
        <s v="23 2 8 1 7. BONIFICACIÓN EXTRAORDINARIA POR EMERGENCIA SANITARIA"/>
        <s v="23 2 8 1 8. BONIFICACIÓN EXTRAORDINARIA POR REACTIVACIÓN ECONÓMICA"/>
        <m u="1"/>
        <s v="21 1 9 3 7. BONO POR DESEMPEÑO" u="1"/>
        <s v="23 2 7 1 7. INVESTIGACIONES" u="1"/>
        <s v="26 3 2 2 2. MOBILIARIO" u="1"/>
        <s v="26 3 2 9 3. SEGURIDAD INDUSTRIAL" u="1"/>
        <s v="23 2 7 3 2. REALIZADO POR PERSONAS NATURALES" u="1"/>
        <s v="25 5 1 1 3. PERSONAL DE SALUD" u="1"/>
        <s v="26 3 2 1 1. MAQUINAS Y EQUIPOS" u="1"/>
        <s v="26 3 2 2 1. MAQUINAS Y EQUIPOS" u="1"/>
        <s v="23 2 7 199. OTROS SERVICIOS SIMILARES" u="1"/>
        <s v="22 1 1 298. OTROS GASTOS EN PENSIONES" u="1"/>
        <s v="23 1 9 1 1. LIBROS, TEXTOS Y OTROS MATERIALES IMPRESOS" u="1"/>
        <s v="21 1 9 399. OTRAS OCASIONALES" u="1"/>
        <s v="23 2 1 299. OTROS GASTOS" u="1"/>
        <s v="23 2 2 5 1. DIFUSIÓN EN EL DIARIO OFICIAL" u="1"/>
        <s v="26 3 2 9 4. ELECTRICIDAD Y ELECTRONICA" u="1"/>
      </sharedItems>
    </cacheField>
    <cacheField name="CLASIF" numFmtId="0">
      <sharedItems containsBlank="1" count="128">
        <s v="21 1 1 1 2. PERSONAL ADMINISTRATIVO NOMBRADO (REGIMEN PUBLICO)"/>
        <s v="21 1 1 1 3. PERSONAL CON CONTRATO A PLAZO FIJO (REGIMEN LABORAL PUBLICO)"/>
        <s v="21 1 1 1 9. PERSONAL DE CONFIANZA (RÉGIMEN LABORAL PÚBLICO)"/>
        <s v="21 1 1 2 1. ASIGNACION A FONDOS PARA PERSONAL"/>
        <s v="21 1 1 299. OTRAS RETRIBUCIONES Y COMPLEMENTOS"/>
        <s v="21 1 3 1 1. PERSONAL NOMBRADO"/>
        <s v="21 1 3 1 2. PERSONAL CONTRATADO"/>
        <s v="21 1 3 1 5. PERSONAL POR SERVICIOS COMPLEMENTARIOS DE SALUD"/>
        <s v="21 1 3 2 1. PERSONAL NOMBRADO"/>
        <s v="21 1 3 2 2. PERSONAL CONTRATADO"/>
        <s v="21 1 3 3 1. GUARDIAS HOSPITALARIAS"/>
        <s v="21 1 3 3 3. BONIFICACIONES O ENTREGAS ECONOMICAS AL PUESTO DE PROFESIONALES DE LA SALUD"/>
        <s v="21 1 3 3 4. BONIFICACIONES O ENTREGAS  ECONÓMICAS AL PUESTO DE NO PROFESIONALES DE LA SALUD"/>
        <s v="21 1 9 1 2. AGUINALDOS"/>
        <s v="21 1 9 1 3. BONIFICACION POR ESCOLARIDAD"/>
        <s v="21 1 9 2 1. COMPENSACION POR TIEMPO DE SERVICIOS (CTS)"/>
        <s v="21 1 9 3 1. ASIGNACION POR CUMPLIR 25 O 30 AÑOS"/>
        <s v="21 3 1 1 5. CONTRIBUCIONES A ESSALUD"/>
        <s v="22 1 1 1 1. REGIMEN DE PENSIONES DL. 20530"/>
        <s v="22 1 1 2 1. ESCOLARIDAD, AGUINALDOS Y GRATIFICACIONES"/>
        <s v="22 2 3 4 2. GASTOS DE SEPELIO Y LUTO DEL PERSONAL ACTIVO"/>
        <s v="23 1 1 1 1. ALIMENTOS Y BEBIDAS PARA CONSUMO HUMANO"/>
        <s v="23 1 2 1 1. VESTUARIO, ACCESORIOS Y PRENDAS DIVERSAS"/>
        <s v="23 1 2 1 2. TEXTILES Y ACABADOS TEXTILES"/>
        <s v="23 1 2 1 3. CALZADO"/>
        <s v="23 1 3 1 1. COMBUSTIBLES Y CARBURANTES"/>
        <s v="23 1 3 1 2. GASES"/>
        <s v="23 1 5 1 2. PAPELERIA EN GENERAL, UTILES Y MATERIALES DE OFICINA"/>
        <s v="23 1 5 3 1. ASEO, LIMPIEZA Y TOCADOR"/>
        <s v="23 1 5 4 1. ELECTRICIDAD, ILUMINACION Y ELECTRONICA"/>
        <s v="23 1 59999. OTROS"/>
        <s v="23 1 6 1 1. DE VEHICULOS"/>
        <s v="23 1 6 1 4. DE SEGURIDAD"/>
        <s v="23 1 6 199. OTROS ACCESORIOS Y REPUESTOS"/>
        <s v="23 1 7 1 1. ENSERES"/>
        <s v="23 1 8 1 2. MEDICAMENTOS"/>
        <s v="23 1 8 2 1. MATERIAL, INSUMOS, INSTRUMENTAL Y ACCESORIOS  MEDICOS, QUIRURGICOS, ODONTOLOGICOS Y DE LABORATORIO"/>
        <s v="23 1 9 1 2. MATERIAL DIDACTICO, ACCESORIOS Y UTILES DE ENSEÑANZA"/>
        <s v="23 1 9 199. OTROS MATERIALES DIVERSOS DE ENSEÑANZA"/>
        <s v="23 111 1 1. PARA EDIFICIOS Y ESTRUCTURAS"/>
        <s v="23 111 1 2. PARA VEHICULOS"/>
        <s v="23 111 1 5. OTROS MATERIALES DE MANTENIMIENTO"/>
        <s v="23 199 1 3. LIBROS, DIARIOS, REVISTAS Y OTROS BIENES IMPRESOS NO VINCULADOS A ENSEÑANZA"/>
        <s v="23 199 199. OTROS BIENES"/>
        <s v="23 2 1 2 1. PASAJES Y GASTOS DE TRANSPORTE"/>
        <s v="23 2 1 2 2. VIATICOS Y ASIGNACIONES POR COMISION DE SERVICIO"/>
        <s v="23 2 2 1 1. SERVICIO DE SUMINISTRO DE ENERGIA ELECTRICA"/>
        <s v="23 2 2 1 2. SERVICIO DE AGUA Y DESAGUE"/>
        <s v="23 2 2 2 1. SERVICIO DE TELEFONIA MOVIL"/>
        <s v="23 2 2 2 2. SERVICIO DE TELEFONIA FIJA"/>
        <s v="23 2 2 2 3. SERVICIO DE INTERNET"/>
        <s v="23 2 2 3 1. CORREOS Y SERVICIOS DE MENSAJERIA"/>
        <s v="23 2 2 399. OTROS SERVICIOS DE COMUNICACION"/>
        <s v="23 2 3 1 1. SERVICIOS DE LIMPIEZA E HIGIENE"/>
        <s v="23 2 3 1 2. SERVICIOS DE SEGURIDAD Y VIGILANCIA"/>
        <s v="23 2 4 2 1. DE EDIFICACIONES, OFICINAS Y ESTRUCTURAS"/>
        <s v="23 2 4 5 1. DE VEHICULOS"/>
        <s v="23 2 4 7 1. DE MAQUINARIAS Y EQUIPOS"/>
        <s v="23 2 6 1 2. GASTOS NOTARIALES"/>
        <s v="23 2 6 3 4. OTROS SEGUROS PERSONALES"/>
        <s v="23 2 7 2 7. SERVICIOS COMPLEMENTARIOS DE SALUD"/>
        <s v="23 2 7 3 1. REALIZADO POR PERSONAS JURIDICAS"/>
        <s v="23 2 7 5 7. INTERNOS DE MEDICINA Y ODONTOLOGIA"/>
        <s v="23 2 7 7 1. SERVICIOS RELACIONADOS CON EL MEDIO AMBIENTE"/>
        <s v="23 2 711 2. TRANSPORTE Y TRASLADO DE CARGA, BIENES Y MATERIALES"/>
        <s v="23 2 711 5. SERVICIOS DE ALIMENTACION DE CONSUMO HUMANO"/>
        <s v="23 2 711 6. SERVICIO DE IMPRESIONES, ENCUADERNACION Y EMPASTADO"/>
        <s v="23 2 71199. SERVICIOS DIVERSOS"/>
        <s v="23 2 8 1 1. CONTRATO ADMINISTRATIVO DE SERVICIOS"/>
        <s v="23 2 8 1 2. CONTRIBUCIONES A ESSALUD DE C.A.S."/>
        <s v="23 2 8 1 4. AGUINALDOS DE C.A.S."/>
        <s v="23 2 9 1 1. LOCACIÓN DE SERVICIOS REALIZADOS POR PERSONAS NATURALES RELACIONADAS AL ROL DE LA ENTIDAD"/>
        <s v="26 3 2 3 1. EQUIPOS COMPUTACIONALES Y PERIFERICOS"/>
        <s v="26 3 2 3 3. EQUIPOS DE TELECOMUNICACIONES"/>
        <s v="26 6 1 3 2. SOFTWARES"/>
        <s v="23 1 3 1 3. LUBRICANTES, GRASAS Y AFINES"/>
        <s v="23 1 5 1 1. REPUESTOS Y ACCESORIOS"/>
        <s v="23 1 5 3 2. DE COCINA, COMEDOR Y CAFETERIA"/>
        <s v="23 1 6 1 2. DE COMUNICACIONES Y TELECOMUNICACIONES"/>
        <s v="23 1 6 1 3. DE CONSTRUCCION Y MAQUINAS"/>
        <s v="23 1 8 199. OTROS PRODUCTOS SIMILARES"/>
        <s v="23 111 1 4. PARA MAQUINARIAS Y EQUIPOS"/>
        <s v="23 111 1 6. MATERIALES DE  ACONDICIONAMIENTO"/>
        <s v="23 199 1 1. HERRAMIENTAS"/>
        <s v="23 199 1 4. SIMBOLOS, DISTINTIVOS Y CONDECORACIONES"/>
        <s v="23 2 2 4 1. SERVICIO DE PUBLICIDAD"/>
        <s v="23 2 2 4 3. SERVICIOS DE IMAGEN INSTITUCIONAL"/>
        <s v="23 2 49999. DE OTROS BIENES Y ACTIVOS"/>
        <s v="23 2 5 1 1. DE EDIFICIOS Y ESTRUCTURAS"/>
        <s v="23 2 5 1 2. DE VEHICULOS"/>
        <s v="23 2 5 1 3. DE MOBILIARIO Y SIMILARES"/>
        <s v="23 2 5 1 4. DE MAQUINARIAS Y EQUIPOS"/>
        <s v="23 2 6 1 1. GASTOS LEGALES Y JUDICIALES"/>
        <s v="23 2 6 299. OTROS SERVICIOS FINANCIEROS"/>
        <s v="23 2 7 299. OTROS SERVICIOS SIMILARES"/>
        <s v="23 2 7 499. OTROS SERVICIOS DE INFORMATICA"/>
        <s v="23 2 711 1. EMBALAJE Y ALMACENAJE"/>
        <s v="23 2 711 3. SERVICIOS RELACIONADOS CON FLORERIA, JARDINERIA Y OTRAS ACTIVIDADES SIMILARES"/>
        <s v="26 3 2 1 2. MOBILIARIO"/>
        <s v="26 3 2 4 1. MOBILIARIO"/>
        <s v="26 3 2 4 2. EQUIPOS"/>
        <s v="26 3 2 9 1. AIRE ACONDICIONADO Y REFRIGERACION"/>
        <s v="26 3 2 9 2. ASEO,  LIMPIEZA Y COCINA"/>
        <s v="26 3 2 9 5. EQUIPOS E INSTRUMENTOS DE MEDICION"/>
        <s v="26 3 2 999. MAQUINARIAS, EQUIPOS Y MOBILIARIOS DE OTRAS INSTALACIONES"/>
        <s v="23 199 1 5. ADQUISICIÓN DE BIENES PARA PRESTACIÓN FUNERARIA"/>
        <s v="23 2 6 3 3. SEGURO OBLIGATORIO ACCIDENTES DE TRANSITO (SOAT)"/>
        <s v="23 2 711 7. PRESTACION FUNERARIA"/>
        <s v="21 1 3 3 9. BONIFICACIÓN EXTRAORDINARIA POR EMERGENCIA SANITARIA"/>
        <s v="21 1 9 310. BONIFICACIÓN EXTRAORDINARIA POR REACTIVACIÓN ECONÓMICA"/>
        <s v="23 2 8 1 7. BONIFICACIÓN EXTRAORDINARIA POR EMERGENCIA SANITARIA"/>
        <s v="23 2 8 1 8. BONIFICACIÓN EXTRAORDINARIA POR REACTIVACIÓN ECONÓMICA"/>
        <m u="1"/>
        <s v="21 1 9 3 7. BONO POR DESEMPEÑO" u="1"/>
        <s v="23 2 7 1 7. INVESTIGACIONES" u="1"/>
        <s v="26 3 2 2 2. MOBILIARIO" u="1"/>
        <s v="26 3 2 9 3. SEGURIDAD INDUSTRIAL" u="1"/>
        <s v="23 2 7 3 2. REALIZADO POR PERSONAS NATURALES" u="1"/>
        <s v="25 5 1 1 3. PERSONAL DE SALUD" u="1"/>
        <s v="26 3 2 1 1. MAQUINAS Y EQUIPOS" u="1"/>
        <s v="26 3 2 2 1. MAQUINAS Y EQUIPOS" u="1"/>
        <s v="23 2 7 199. OTROS SERVICIOS SIMILARES" u="1"/>
        <s v="22 1 1 298. OTROS GASTOS EN PENSIONES" u="1"/>
        <s v="23 1 9 1 1. LIBROS, TEXTOS Y OTROS MATERIALES IMPRESOS" u="1"/>
        <s v="21 1 9 399. OTRAS OCASIONALES" u="1"/>
        <s v="23 2 1 299. OTROS GASTOS" u="1"/>
        <s v="23 2 2 5 1. DIFUSIÓN EN EL DIARIO OFICIAL" u="1"/>
        <s v="26 3 2 9 4. ELECTRICIDAD Y ELECTRONICA" u="1"/>
      </sharedItems>
    </cacheField>
    <cacheField name="CAT_PPTAL" numFmtId="0">
      <sharedItems containsBlank="1" count="4">
        <s v="PPR"/>
        <s v="G.ADM"/>
        <s v="APNOP"/>
        <m u="1"/>
      </sharedItems>
    </cacheField>
    <cacheField name="G.G." numFmtId="0">
      <sharedItems containsBlank="1" count="6">
        <s v="21. PERSONAL Y OBLIGACIONES SOCIALES"/>
        <s v="22. PENSIONES Y OTRAS PRESTACIONES SOCIALES"/>
        <s v="23. BIENES Y SERVICIOS"/>
        <s v="26. ADQUISICION DE ACTIVOS NO FINANCIEROS"/>
        <m u="1"/>
        <s v="25. OTROS GASTOS" u="1"/>
      </sharedItems>
    </cacheField>
    <cacheField name="FTE" numFmtId="0">
      <sharedItems/>
    </cacheField>
    <cacheField name="SALDO X CERTIFICAR" numFmtId="0" formula="mto_pim-mto_certificado" databaseField="0"/>
    <cacheField name="% CERTIFICADO" numFmtId="0" formula="mto_certificado/mto_pim" databaseField="0"/>
    <cacheField name="SALDO ANUAL" numFmtId="0" formula="mto_pim-mto_compro_anual" databaseField="0"/>
    <cacheField name="% ANUAL" numFmtId="0" formula="mto_compro_anual/mto_pim" databaseField="0"/>
    <cacheField name="MENSUAL" numFmtId="0" formula="mto_at_comp_01+mto_at_comp_02+mto_at_comp_03+mto_at_comp_04+mto_at_comp_05+mto_at_comp_06+mto_at_comp_07+mto_at_comp_08+mto_at_comp_09+mto_at_comp_10+mto_at_comp_11+mto_at_comp_12" databaseField="0"/>
    <cacheField name="SALDO MENSUAL" numFmtId="0" formula="mto_pim-MENSUAL" databaseField="0"/>
    <cacheField name="% MENSUAL" numFmtId="0" formula="MENSUAL/mto_pim" databaseField="0"/>
    <cacheField name="DEVENGADO" numFmtId="0" formula="mto_devenga_01+mto_devenga_02+mto_devenga_03+mto_devenga_04+mto_devenga_05+mto_devenga_06+mto_devenga_07+mto_devenga_08+mto_devenga_09+mto_devenga_10+mto_devenga_11+mto_devenga_12" databaseField="0"/>
    <cacheField name="SALDO DEVENGADO" numFmtId="0" formula="mto_pim-DEVENGADO" databaseField="0"/>
    <cacheField name="% DEVENGADO" numFmtId="0" formula="DEVENGADO/mto_pim" databaseField="0"/>
    <cacheField name="VARIACION" numFmtId="0" formula="mto_pim/mto_pia" databaseField="0"/>
  </cacheFields>
  <extLst>
    <ext xmlns:x14="http://schemas.microsoft.com/office/spreadsheetml/2009/9/main" uri="{725AE2AE-9491-48be-B2B4-4EB974FC3084}">
      <x14:pivotCacheDefinition pivotCacheId="18316761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x v="0"/>
    <n v="0.31746031746031744"/>
    <n v="0.66666666666666663"/>
    <n v="0.2857142857142857"/>
    <n v="0"/>
    <n v="0.45500000000000002"/>
    <n v="0.66"/>
    <n v="0.25"/>
    <n v="0.4"/>
    <n v="0.4"/>
    <n v="0.125"/>
    <n v="0.125"/>
  </r>
  <r>
    <x v="0"/>
    <x v="1"/>
    <n v="0.22222222222222221"/>
    <n v="0"/>
    <n v="0.16666666666666666"/>
    <n v="0.5"/>
    <n v="0.69696969696969702"/>
    <n v="0.72727272727272729"/>
    <n v="0.66666666666666663"/>
    <n v="0.7142857142857143"/>
    <n v="0.7142857142857143"/>
    <n v="0.25"/>
    <n v="0.25"/>
  </r>
  <r>
    <x v="0"/>
    <x v="2"/>
    <n v="0.57407407407407407"/>
    <n v="0.5"/>
    <n v="0.22222222222222221"/>
    <n v="1"/>
    <n v="0.4"/>
    <n v="0"/>
    <n v="0.8"/>
    <n v="1"/>
    <n v="1"/>
    <n v="1"/>
    <n v="1"/>
  </r>
  <r>
    <x v="0"/>
    <x v="3"/>
    <n v="0.41666666666666669"/>
    <n v="0.5"/>
    <n v="0.5"/>
    <n v="0.25"/>
    <n v="0.18253968253968253"/>
    <n v="0.22222222222222221"/>
    <n v="0.14285714285714285"/>
    <n v="0.5714285714285714"/>
    <n v="0.5714285714285714"/>
    <n v="0.66666666666666663"/>
    <n v="0.66666666666666663"/>
  </r>
  <r>
    <x v="0"/>
    <x v="4"/>
    <n v="0.62380952380952381"/>
    <n v="0.5"/>
    <n v="0.5714285714285714"/>
    <n v="0.8"/>
    <n v="0.1"/>
    <n v="0"/>
    <n v="0.2"/>
    <n v="0.4"/>
    <n v="0.4"/>
    <n v="0.4"/>
    <n v="0.4"/>
  </r>
  <r>
    <x v="0"/>
    <x v="5"/>
    <n v="0.59696969696969693"/>
    <n v="0.7"/>
    <n v="1"/>
    <n v="9.0909090909090912E-2"/>
    <n v="0.75"/>
    <n v="1"/>
    <n v="0.5"/>
    <n v="0.5"/>
    <n v="0.5"/>
    <n v="0.16666666666666666"/>
    <n v="0.16666666666666666"/>
  </r>
  <r>
    <x v="1"/>
    <x v="6"/>
    <n v="0.48095238095238096"/>
    <n v="0.5"/>
    <n v="0.8"/>
    <n v="0.14285714285714285"/>
    <n v="0.4"/>
    <n v="0.8"/>
    <n v="0"/>
    <n v="0.66666666666666663"/>
    <n v="0.66666666666666663"/>
    <n v="0.4"/>
    <n v="0.4"/>
  </r>
  <r>
    <x v="1"/>
    <x v="0"/>
    <n v="0.55555555555555547"/>
    <n v="1"/>
    <n v="0.33333333333333331"/>
    <n v="0.33333333333333331"/>
    <n v="0.5625"/>
    <n v="0.625"/>
    <n v="0.5"/>
    <n v="0.7142857142857143"/>
    <n v="0.7142857142857143"/>
    <n v="0.2857142857142857"/>
    <n v="0.2857142857142857"/>
  </r>
  <r>
    <x v="1"/>
    <x v="7"/>
    <n v="0.67037037037037039"/>
    <n v="0.9"/>
    <n v="0.33333333333333331"/>
    <n v="0.77777777777777779"/>
    <n v="0.2"/>
    <n v="0.4"/>
    <n v="0"/>
    <n v="0.25"/>
    <n v="0.25"/>
    <n v="0.25"/>
    <n v="0.25"/>
  </r>
  <r>
    <x v="1"/>
    <x v="2"/>
    <n v="0.33333333333333331"/>
    <n v="0.16666666666666666"/>
    <n v="0.33333333333333331"/>
    <n v="0.5"/>
    <n v="0.17499999999999999"/>
    <n v="0.25"/>
    <n v="0.1"/>
    <n v="0.2857142857142857"/>
    <n v="0.2857142857142857"/>
    <n v="0.6"/>
    <n v="0.6"/>
  </r>
  <r>
    <x v="1"/>
    <x v="3"/>
    <n v="0.83458333333333334"/>
    <n v="1"/>
    <n v="0.625"/>
    <n v="0.87875000000000003"/>
    <n v="0.5"/>
    <n v="0.33333333333333331"/>
    <n v="0.66666666666666663"/>
    <n v="1"/>
    <n v="1"/>
    <n v="0.8571428571428571"/>
    <n v="0.8571428571428571"/>
  </r>
  <r>
    <x v="1"/>
    <x v="4"/>
    <n v="0.3666666666666667"/>
    <n v="0.55555555555555558"/>
    <n v="0.1"/>
    <n v="0.44444444444444442"/>
    <n v="0.63749999999999996"/>
    <n v="0.4"/>
    <n v="0.875"/>
    <n v="0.7142857142857143"/>
    <n v="0.7142857142857143"/>
    <n v="0.16666666666666666"/>
    <n v="0.16666666666666666"/>
  </r>
  <r>
    <x v="2"/>
    <x v="0"/>
    <n v="0.30444444444444446"/>
    <n v="0.33333333333333331"/>
    <n v="0.38"/>
    <n v="0.2"/>
    <n v="0.15000000000000002"/>
    <n v="0.1"/>
    <n v="0.2"/>
    <n v="0.5714285714285714"/>
    <n v="0.5714285714285714"/>
    <n v="1"/>
    <n v="1"/>
  </r>
  <r>
    <x v="2"/>
    <x v="1"/>
    <n v="0.43333333333333335"/>
    <n v="0.4"/>
    <n v="0.4"/>
    <n v="0.5"/>
    <n v="0.33333333333333331"/>
    <n v="0.16666666666666666"/>
    <n v="0.5"/>
    <n v="0.125"/>
    <n v="0.125"/>
    <n v="0.81818181818181823"/>
    <n v="0.81818181818181823"/>
  </r>
  <r>
    <x v="2"/>
    <x v="2"/>
    <n v="0.59365079365079365"/>
    <n v="0.7142857142857143"/>
    <n v="0.4"/>
    <n v="0.66666666666666663"/>
    <n v="0.5"/>
    <n v="0.5"/>
    <n v="0.5"/>
    <n v="0.5"/>
    <n v="0.5"/>
    <n v="1"/>
    <n v="1"/>
  </r>
  <r>
    <x v="2"/>
    <x v="8"/>
    <n v="0.28240740740740738"/>
    <n v="0.125"/>
    <n v="0.5"/>
    <n v="0.22222222222222221"/>
    <n v="0.1984126984126984"/>
    <n v="0.2857142857142857"/>
    <n v="0.1111111111111111"/>
    <n v="0.54545454545454541"/>
    <n v="0.54545454545454541"/>
    <n v="0.33333333333333331"/>
    <n v="0.33333333333333331"/>
  </r>
  <r>
    <x v="2"/>
    <x v="4"/>
    <n v="0.54761904761904756"/>
    <n v="0.14285714285714285"/>
    <n v="0.5"/>
    <n v="1"/>
    <n v="0.36249999999999999"/>
    <n v="0.6"/>
    <n v="0.125"/>
    <n v="0.72727272727272729"/>
    <n v="0.72727272727272729"/>
    <n v="0.33333333333333331"/>
    <n v="0.33333333333333331"/>
  </r>
  <r>
    <x v="2"/>
    <x v="9"/>
    <n v="0.20833333333333334"/>
    <n v="0"/>
    <n v="0"/>
    <n v="0.625"/>
    <n v="0.27777777777777779"/>
    <n v="0.55555555555555558"/>
    <n v="0"/>
    <n v="0.16666666666666666"/>
    <n v="0.16666666666666666"/>
    <n v="0.33333333333333331"/>
    <n v="0.33333333333333331"/>
  </r>
  <r>
    <x v="3"/>
    <x v="1"/>
    <n v="0.67037037037037039"/>
    <n v="0.9"/>
    <n v="0.33333333333333331"/>
    <n v="0.77777777777777779"/>
    <n v="0.2"/>
    <n v="0.4"/>
    <n v="0"/>
    <n v="0.25"/>
    <n v="0.25"/>
    <n v="0.25"/>
    <n v="0.25"/>
  </r>
  <r>
    <x v="3"/>
    <x v="2"/>
    <n v="0.33333333333333331"/>
    <n v="0.16666666666666666"/>
    <n v="0.33333333333333331"/>
    <n v="0.5"/>
    <n v="0.17499999999999999"/>
    <n v="0.25"/>
    <n v="0.1"/>
    <n v="0.2857142857142857"/>
    <n v="0.2857142857142857"/>
    <n v="0.6"/>
    <n v="0.6"/>
  </r>
  <r>
    <x v="3"/>
    <x v="3"/>
    <n v="0.83458333333333334"/>
    <n v="1"/>
    <n v="0.625"/>
    <n v="0.87875000000000003"/>
    <n v="0.5"/>
    <n v="0.33333333333333331"/>
    <n v="0.66666666666666663"/>
    <n v="1"/>
    <n v="1"/>
    <n v="0.8571428571428571"/>
    <n v="0.8571428571428571"/>
  </r>
  <r>
    <x v="3"/>
    <x v="4"/>
    <n v="0.3666666666666667"/>
    <n v="0.55555555555555558"/>
    <n v="0.1"/>
    <n v="0.44444444444444442"/>
    <n v="0.63749999999999996"/>
    <n v="0.4"/>
    <n v="0.875"/>
    <n v="0.7142857142857143"/>
    <n v="0.7142857142857143"/>
    <n v="0.16666666666666666"/>
    <n v="0.16666666666666666"/>
  </r>
  <r>
    <x v="3"/>
    <x v="0"/>
    <n v="0.30444444444444446"/>
    <n v="0.33333333333333331"/>
    <n v="0.38"/>
    <n v="0.2"/>
    <n v="0.15000000000000002"/>
    <n v="0.1"/>
    <n v="0.2"/>
    <n v="0.5714285714285714"/>
    <n v="0.5714285714285714"/>
    <n v="1"/>
    <n v="1"/>
  </r>
  <r>
    <x v="3"/>
    <x v="1"/>
    <n v="0.43333333333333335"/>
    <n v="0.4"/>
    <n v="0.4"/>
    <n v="0.5"/>
    <n v="0.33333333333333331"/>
    <n v="0.16666666666666666"/>
    <n v="0.5"/>
    <n v="0.125"/>
    <n v="0.125"/>
    <n v="0.81818181818181823"/>
    <n v="0.81818181818181823"/>
  </r>
  <r>
    <x v="3"/>
    <x v="2"/>
    <n v="0.59365079365079365"/>
    <n v="0.7142857142857143"/>
    <n v="0.4"/>
    <n v="0.66666666666666663"/>
    <n v="0.5"/>
    <n v="0.5"/>
    <n v="0.5"/>
    <n v="0.5"/>
    <n v="0.5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06">
  <r>
    <s v="2021"/>
    <s v="EJECUTORAS DEL GOBIERNO REGIONAL"/>
    <s v="99. GOBIERNOS REGIONALES"/>
    <s v="444. GOBIERNO REGIONAL DEL DEPARTAMENTO DE AYACUCHO"/>
    <s v="401. REGION AYACUCHO-HOSPITAL HUAMANGA"/>
    <s v="001024"/>
    <x v="0"/>
    <s v=" ."/>
    <s v="3000688."/>
    <s v="5.ACTIVIDAD"/>
    <s v="5004449. CAPACITACION EN MEDICINA DE REHABILITACION"/>
    <s v="20. SALUD"/>
    <s v="044. SALUD INDIVIDUAL"/>
    <s v="0097. ATENCION MEDICA ESPECIALIZADA"/>
    <s v="00001"/>
    <s v="0136018. CAPACITACION EN MEDICINA DE REHABILITACION"/>
    <s v="00088 - PERSONA CAPACITADA"/>
    <n v="60"/>
    <n v="30"/>
    <n v="0"/>
    <n v="0"/>
    <x v="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1. PERSONAL ADMINISTRATIVO"/>
    <s v=" 1. PERSONAL ADMINISTRATIVO"/>
    <s v=" 2. PERSONAL ADMINISTRATIVO NOMBRADO (REGIMEN PUBLICO)"/>
    <s v="0 . RECURSOS ORDINARIOS"/>
    <n v="16840"/>
    <n v="0"/>
    <n v="16840"/>
    <n v="9823.7999999999993"/>
    <n v="9823.7999999999993"/>
    <n v="1403.4"/>
    <n v="1403.4"/>
    <n v="1403.4"/>
    <n v="1403.4"/>
    <n v="1403.4"/>
    <n v="1403.4"/>
    <n v="1403.4"/>
    <n v="0"/>
    <n v="0"/>
    <n v="0"/>
    <n v="0"/>
    <n v="0"/>
    <n v="1403.4"/>
    <n v="1403.4"/>
    <n v="1403.4"/>
    <n v="1403.4"/>
    <n v="1403.4"/>
    <n v="1403.4"/>
    <n v="1403.4"/>
    <n v="0"/>
    <n v="0"/>
    <n v="0"/>
    <n v="0"/>
    <n v="0"/>
    <n v="1248.98"/>
    <n v="1392.58"/>
    <n v="1438.4"/>
    <n v="1052.4100000000001"/>
    <n v="1746.89"/>
    <n v="1428.9"/>
    <n v="1403.4"/>
    <n v="0"/>
    <n v="0"/>
    <n v="0"/>
    <n v="0"/>
    <n v="0"/>
    <n v="1248.98"/>
    <n v="1392.58"/>
    <n v="1438.4"/>
    <n v="1047.4100000000001"/>
    <n v="1746.89"/>
    <n v="1428.9"/>
    <n v="1398.4"/>
    <n v="0"/>
    <n v="0"/>
    <n v="0"/>
    <n v="0"/>
    <n v="0"/>
    <x v="0"/>
    <x v="0"/>
    <x v="0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1. PLANEAMIENTO Y PRESUPUESTO"/>
    <s v="20. SALUD"/>
    <s v="004. PLANEAMIENTO GUBERNAMENTAL"/>
    <s v="0005. PLANEAMIENTO INSTITUCIONAL"/>
    <s v="00001"/>
    <s v="0001179. PLANEAMIENTO Y PRESUPUESTO"/>
    <s v="00001 - ACCION"/>
    <n v="12"/>
    <n v="6"/>
    <n v="5"/>
    <n v="5"/>
    <x v="1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1. PERSONAL ADMINISTRATIVO"/>
    <s v=" 1. PERSONAL ADMINISTRATIVO"/>
    <s v=" 2. PERSONAL ADMINISTRATIVO NOMBRADO (REGIMEN PUBLICO)"/>
    <s v="0 . RECURSOS ORDINARIOS"/>
    <n v="25782"/>
    <n v="13995"/>
    <n v="39777"/>
    <n v="23206.05"/>
    <n v="23206.05"/>
    <n v="3306.07"/>
    <n v="3306.07"/>
    <n v="3306.07"/>
    <n v="3306.07"/>
    <n v="3354.01"/>
    <n v="3313.88"/>
    <n v="3313.88"/>
    <n v="0"/>
    <n v="0"/>
    <n v="0"/>
    <n v="0"/>
    <n v="0"/>
    <n v="3306.07"/>
    <n v="3306.07"/>
    <n v="3306.07"/>
    <n v="3306.07"/>
    <n v="3354.01"/>
    <n v="3313.88"/>
    <n v="3313.88"/>
    <n v="0"/>
    <n v="0"/>
    <n v="0"/>
    <n v="0"/>
    <n v="0"/>
    <n v="2187.5100000000002"/>
    <n v="3306.06"/>
    <n v="3306.07"/>
    <n v="3715.62"/>
    <n v="2899.26"/>
    <n v="3365.91"/>
    <n v="3301.98"/>
    <n v="0"/>
    <n v="0"/>
    <n v="0"/>
    <n v="0"/>
    <n v="0"/>
    <n v="2187.5100000000002"/>
    <n v="3306.06"/>
    <n v="3306.07"/>
    <n v="3715.62"/>
    <n v="2899.26"/>
    <n v="3365.91"/>
    <n v="3301.98"/>
    <n v="0"/>
    <n v="0"/>
    <n v="0"/>
    <n v="0"/>
    <n v="0"/>
    <x v="0"/>
    <x v="0"/>
    <x v="0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1. PERSONAL ADMINISTRATIVO"/>
    <s v=" 1. PERSONAL ADMINISTRATIVO"/>
    <s v=" 2. PERSONAL ADMINISTRATIVO NOMBRADO (REGIMEN PUBLICO)"/>
    <s v="0 . RECURSOS ORDINARIOS"/>
    <n v="870844"/>
    <n v="0"/>
    <n v="870844"/>
    <n v="440945.35"/>
    <n v="440945.35"/>
    <n v="58979.45"/>
    <n v="61744.28"/>
    <n v="61744.28"/>
    <n v="63566.42"/>
    <n v="64096.5"/>
    <n v="63217.45"/>
    <n v="67596.97"/>
    <n v="0"/>
    <n v="0"/>
    <n v="0"/>
    <n v="0"/>
    <n v="0"/>
    <n v="58979.45"/>
    <n v="61744.28"/>
    <n v="61744.28"/>
    <n v="63566.42"/>
    <n v="64096.5"/>
    <n v="63217.45"/>
    <n v="67596.97"/>
    <n v="0"/>
    <n v="0"/>
    <n v="0"/>
    <n v="0"/>
    <n v="0"/>
    <n v="45184.800000000003"/>
    <n v="56941.83"/>
    <n v="71617.56"/>
    <n v="56896.31"/>
    <n v="64765.120000000003"/>
    <n v="67966.720000000001"/>
    <n v="65872.83"/>
    <n v="0"/>
    <n v="0"/>
    <n v="0"/>
    <n v="0"/>
    <n v="0"/>
    <n v="45184.800000000003"/>
    <n v="55680.15"/>
    <n v="71617.56"/>
    <n v="58022.99"/>
    <n v="64765.120000000003"/>
    <n v="67966.720000000001"/>
    <n v="59053.15"/>
    <n v="0"/>
    <n v="0"/>
    <n v="0"/>
    <n v="0"/>
    <n v="0"/>
    <x v="0"/>
    <x v="0"/>
    <x v="0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5. GESTION DE RECURSOS HUMANOS"/>
    <s v="20. SALUD"/>
    <s v="006. GESTION"/>
    <s v="0011. PREPARACION Y PERFECCIONAMIENTO DE RECURSOS HUMANOS"/>
    <s v="00001"/>
    <s v="0053571. GESTION DE RECURSOS HUMANOS"/>
    <s v="00001 - ACCION"/>
    <n v="2426"/>
    <n v="1213"/>
    <n v="124"/>
    <n v="124"/>
    <x v="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1. PERSONAL ADMINISTRATIVO"/>
    <s v=" 1. PERSONAL ADMINISTRATIVO"/>
    <s v=" 2. PERSONAL ADMINISTRATIVO NOMBRADO (REGIMEN PUBLICO)"/>
    <s v="0 . RECURSOS ORDINARIOS"/>
    <n v="270828"/>
    <n v="0"/>
    <n v="270828"/>
    <n v="156371.07"/>
    <n v="156371.07"/>
    <n v="22599.16"/>
    <n v="23962.99"/>
    <n v="22202.47"/>
    <n v="23306.82"/>
    <n v="23474.47"/>
    <n v="20412.580000000002"/>
    <n v="20412.580000000002"/>
    <n v="0"/>
    <n v="0"/>
    <n v="0"/>
    <n v="0"/>
    <n v="0"/>
    <n v="22599.16"/>
    <n v="23962.99"/>
    <n v="22202.47"/>
    <n v="23306.82"/>
    <n v="23474.47"/>
    <n v="20412.580000000002"/>
    <n v="20412.580000000002"/>
    <n v="0"/>
    <n v="0"/>
    <n v="0"/>
    <n v="0"/>
    <n v="0"/>
    <n v="17135.89"/>
    <n v="22091.99"/>
    <n v="25971.71"/>
    <n v="21173.59"/>
    <n v="21459.71"/>
    <n v="23887.79"/>
    <n v="21399.58"/>
    <n v="0"/>
    <n v="0"/>
    <n v="0"/>
    <n v="0"/>
    <n v="0"/>
    <n v="17135.89"/>
    <n v="21729.66"/>
    <n v="25971.71"/>
    <n v="21485.919999999998"/>
    <n v="21459.71"/>
    <n v="23887.79"/>
    <n v="20921.05"/>
    <n v="0"/>
    <n v="0"/>
    <n v="0"/>
    <n v="0"/>
    <n v="0"/>
    <x v="0"/>
    <x v="0"/>
    <x v="0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6. ACCIONES DE CONTROL Y AUDITORIA"/>
    <s v="20. SALUD"/>
    <s v="006. GESTION"/>
    <s v="0012. CONTROL INTERNO"/>
    <s v="00001"/>
    <s v="0023404. ACCIONES DE CONTROL Y AUDITORIA"/>
    <s v="00001 - ACCION"/>
    <n v="54"/>
    <n v="27"/>
    <n v="13"/>
    <n v="13"/>
    <x v="4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1. PERSONAL ADMINISTRATIVO"/>
    <s v=" 1. PERSONAL ADMINISTRATIVO"/>
    <s v=" 2. PERSONAL ADMINISTRATIVO NOMBRADO (REGIMEN PUBLICO)"/>
    <s v="0 . RECURSOS ORDINARIOS"/>
    <n v="17340"/>
    <n v="0"/>
    <n v="173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0"/>
    <x v="0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195. SERVICIOS GENERALES"/>
    <s v="20. SALUD"/>
    <s v="044. SALUD INDIVIDUAL"/>
    <s v="0096. ATENCION MEDICA BASICA"/>
    <s v="00001"/>
    <s v="0000299. BRINDAR ATENCION BASICA DE SALUD"/>
    <s v="00107 - SERVICIO"/>
    <n v="107"/>
    <n v="53"/>
    <n v="45"/>
    <n v="45"/>
    <x v="5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1. PERSONAL ADMINISTRATIVO"/>
    <s v=" 1. PERSONAL ADMINISTRATIVO"/>
    <s v=" 2. PERSONAL ADMINISTRATIVO NOMBRADO (REGIMEN PUBLICO)"/>
    <s v="0 . RECURSOS ORDINARIOS"/>
    <n v="0"/>
    <n v="41677"/>
    <n v="416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0"/>
    <x v="0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1. PLANEAMIENTO Y PRESUPUESTO"/>
    <s v="20. SALUD"/>
    <s v="004. PLANEAMIENTO GUBERNAMENTAL"/>
    <s v="0005. PLANEAMIENTO INSTITUCIONAL"/>
    <s v="00001"/>
    <s v="0001179. PLANEAMIENTO Y PRESUPUESTO"/>
    <s v="00001 - ACCION"/>
    <n v="12"/>
    <n v="6"/>
    <n v="5"/>
    <n v="5"/>
    <x v="1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1. PERSONAL ADMINISTRATIVO"/>
    <s v=" 1. PERSONAL ADMINISTRATIVO"/>
    <s v=" 3. PERSONAL CON CONTRATO A PLAZO FIJO (REGIMEN LABORAL PUBLICO)"/>
    <s v="0 . RECURSOS ORDINARIOS"/>
    <n v="9623"/>
    <n v="11989"/>
    <n v="216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"/>
    <x v="1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1. PERSONAL ADMINISTRATIVO"/>
    <s v=" 1. PERSONAL ADMINISTRATIVO"/>
    <s v=" 3. PERSONAL CON CONTRATO A PLAZO FIJO (REGIMEN LABORAL PUBLICO)"/>
    <s v="0 . RECURSOS ORDINARIOS"/>
    <n v="102495"/>
    <n v="0"/>
    <n v="102495"/>
    <n v="12006.01"/>
    <n v="12006.01"/>
    <n v="0"/>
    <n v="2094.58"/>
    <n v="429.21"/>
    <n v="1478.4"/>
    <n v="0"/>
    <n v="0"/>
    <n v="8003.82"/>
    <n v="0"/>
    <n v="0"/>
    <n v="0"/>
    <n v="0"/>
    <n v="0"/>
    <n v="0"/>
    <n v="2094.58"/>
    <n v="429.21"/>
    <n v="1478.4"/>
    <n v="0"/>
    <n v="0"/>
    <n v="8003.82"/>
    <n v="0"/>
    <n v="0"/>
    <n v="0"/>
    <n v="0"/>
    <n v="0"/>
    <n v="0"/>
    <n v="0"/>
    <n v="2501.64"/>
    <n v="821.86"/>
    <n v="678.69"/>
    <n v="-738.17"/>
    <n v="7627.24"/>
    <n v="0"/>
    <n v="0"/>
    <n v="0"/>
    <n v="0"/>
    <n v="0"/>
    <n v="0"/>
    <n v="0"/>
    <n v="2094.58"/>
    <n v="22.15"/>
    <n v="483.6"/>
    <n v="663.69"/>
    <n v="7627.24"/>
    <n v="0"/>
    <n v="0"/>
    <n v="0"/>
    <n v="0"/>
    <n v="0"/>
    <x v="0"/>
    <x v="1"/>
    <x v="1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5. GESTION DE RECURSOS HUMANOS"/>
    <s v="20. SALUD"/>
    <s v="006. GESTION"/>
    <s v="0011. PREPARACION Y PERFECCIONAMIENTO DE RECURSOS HUMANOS"/>
    <s v="00001"/>
    <s v="0053571. GESTION DE RECURSOS HUMANOS"/>
    <s v="00001 - ACCION"/>
    <n v="2426"/>
    <n v="1213"/>
    <n v="124"/>
    <n v="124"/>
    <x v="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1. PERSONAL ADMINISTRATIVO"/>
    <s v=" 1. PERSONAL ADMINISTRATIVO"/>
    <s v=" 3. PERSONAL CON CONTRATO A PLAZO FIJO (REGIMEN LABORAL PUBLICO)"/>
    <s v="0 . RECURSOS ORDINARIOS"/>
    <n v="34171"/>
    <n v="8894"/>
    <n v="43065"/>
    <n v="22302.41"/>
    <n v="22302.41"/>
    <n v="0"/>
    <n v="0"/>
    <n v="4102.53"/>
    <n v="6409.36"/>
    <n v="4869.97"/>
    <n v="2768.22"/>
    <n v="4152.33"/>
    <n v="0"/>
    <n v="0"/>
    <n v="0"/>
    <n v="0"/>
    <n v="0"/>
    <n v="0"/>
    <n v="0"/>
    <n v="4102.53"/>
    <n v="6409.36"/>
    <n v="4869.97"/>
    <n v="2768.22"/>
    <n v="4152.33"/>
    <n v="0"/>
    <n v="0"/>
    <n v="0"/>
    <n v="0"/>
    <n v="0"/>
    <n v="0"/>
    <n v="0"/>
    <n v="3904.77"/>
    <n v="4222.87"/>
    <n v="6978.49"/>
    <n v="2847.02"/>
    <n v="4040.48"/>
    <n v="0"/>
    <n v="0"/>
    <n v="0"/>
    <n v="0"/>
    <n v="0"/>
    <n v="0"/>
    <n v="0"/>
    <n v="3904.77"/>
    <n v="4222.87"/>
    <n v="6978.49"/>
    <n v="2847.02"/>
    <n v="1449"/>
    <n v="0"/>
    <n v="0"/>
    <n v="0"/>
    <n v="0"/>
    <n v="0"/>
    <x v="0"/>
    <x v="1"/>
    <x v="1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6. ACCIONES DE CONTROL Y AUDITORIA"/>
    <s v="20. SALUD"/>
    <s v="006. GESTION"/>
    <s v="0012. CONTROL INTERNO"/>
    <s v="00001"/>
    <s v="0023404. ACCIONES DE CONTROL Y AUDITORIA"/>
    <s v="00001 - ACCION"/>
    <n v="54"/>
    <n v="27"/>
    <n v="13"/>
    <n v="13"/>
    <x v="4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1. PERSONAL ADMINISTRATIVO"/>
    <s v=" 1. PERSONAL ADMINISTRATIVO"/>
    <s v=" 3. PERSONAL CON CONTRATO A PLAZO FIJO (REGIMEN LABORAL PUBLICO)"/>
    <s v="0 . RECURSOS ORDINARIOS"/>
    <n v="9623"/>
    <n v="0"/>
    <n v="96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"/>
    <x v="1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1. PLANEAMIENTO Y PRESUPUESTO"/>
    <s v="20. SALUD"/>
    <s v="004. PLANEAMIENTO GUBERNAMENTAL"/>
    <s v="0005. PLANEAMIENTO INSTITUCIONAL"/>
    <s v="00001"/>
    <s v="0001179. PLANEAMIENTO Y PRESUPUESTO"/>
    <s v="00001 - ACCION"/>
    <n v="12"/>
    <n v="6"/>
    <n v="5"/>
    <n v="5"/>
    <x v="1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1. PERSONAL ADMINISTRATIVO"/>
    <s v=" 1. PERSONAL ADMINISTRATIVO"/>
    <s v=" 9. PERSONAL DE CONFIANZA (RÉGIMEN LABORAL PÚBLICO)"/>
    <s v="0 . RECURSOS ORDINARIOS"/>
    <n v="28207"/>
    <n v="22216"/>
    <n v="50423"/>
    <n v="26969.68"/>
    <n v="26969.68"/>
    <n v="2345.19"/>
    <n v="2345.19"/>
    <n v="2345.19"/>
    <n v="4690.38"/>
    <n v="4690.38"/>
    <n v="5862.97"/>
    <n v="4690.38"/>
    <n v="0"/>
    <n v="0"/>
    <n v="0"/>
    <n v="0"/>
    <n v="0"/>
    <n v="2345.19"/>
    <n v="2345.19"/>
    <n v="2345.19"/>
    <n v="4690.38"/>
    <n v="4690.38"/>
    <n v="5862.97"/>
    <n v="4690.38"/>
    <n v="0"/>
    <n v="0"/>
    <n v="0"/>
    <n v="0"/>
    <n v="0"/>
    <n v="2246.7199999999998"/>
    <n v="98.47"/>
    <n v="4589.71"/>
    <n v="3491.85"/>
    <n v="3543.72"/>
    <n v="8074.77"/>
    <n v="4734.84"/>
    <n v="0"/>
    <n v="0"/>
    <n v="0"/>
    <n v="0"/>
    <n v="0"/>
    <n v="2246.7199999999998"/>
    <n v="98.47"/>
    <n v="4589.71"/>
    <n v="3491.85"/>
    <n v="3543.72"/>
    <n v="8074.77"/>
    <n v="4734.84"/>
    <n v="0"/>
    <n v="0"/>
    <n v="0"/>
    <n v="0"/>
    <n v="0"/>
    <x v="0"/>
    <x v="2"/>
    <x v="2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5. GESTION DE RECURSOS HUMANOS"/>
    <s v="20. SALUD"/>
    <s v="006. GESTION"/>
    <s v="0011. PREPARACION Y PERFECCIONAMIENTO DE RECURSOS HUMANOS"/>
    <s v="00001"/>
    <s v="0053571. GESTION DE RECURSOS HUMANOS"/>
    <s v="00001 - ACCION"/>
    <n v="2426"/>
    <n v="1213"/>
    <n v="124"/>
    <n v="124"/>
    <x v="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1. PERSONAL ADMINISTRATIVO"/>
    <s v=" 1. PERSONAL ADMINISTRATIVO"/>
    <s v=" 9. PERSONAL DE CONFIANZA (RÉGIMEN LABORAL PÚBLICO)"/>
    <s v="0 . RECURSOS ORDINARIOS"/>
    <n v="7800"/>
    <n v="0"/>
    <n v="7800"/>
    <n v="6052.1"/>
    <n v="6052.1"/>
    <n v="1361.72"/>
    <n v="2345.19"/>
    <n v="2345.19"/>
    <n v="0"/>
    <n v="0"/>
    <n v="0"/>
    <n v="0"/>
    <n v="0"/>
    <n v="0"/>
    <n v="0"/>
    <n v="0"/>
    <n v="0"/>
    <n v="1361.72"/>
    <n v="2345.19"/>
    <n v="2345.19"/>
    <n v="0"/>
    <n v="0"/>
    <n v="0"/>
    <n v="0"/>
    <n v="0"/>
    <n v="0"/>
    <n v="0"/>
    <n v="0"/>
    <n v="0"/>
    <n v="434.43"/>
    <n v="927.29"/>
    <n v="4415.05"/>
    <n v="275.33"/>
    <n v="0"/>
    <n v="0"/>
    <n v="0"/>
    <n v="0"/>
    <n v="0"/>
    <n v="0"/>
    <n v="0"/>
    <n v="0"/>
    <n v="434.43"/>
    <n v="927.29"/>
    <n v="4415.05"/>
    <n v="275.33"/>
    <n v="0"/>
    <n v="0"/>
    <n v="0"/>
    <n v="0"/>
    <n v="0"/>
    <n v="0"/>
    <n v="0"/>
    <n v="0"/>
    <x v="0"/>
    <x v="2"/>
    <x v="2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6. ACCIONES DE CONTROL Y AUDITORIA"/>
    <s v="20. SALUD"/>
    <s v="006. GESTION"/>
    <s v="0012. CONTROL INTERNO"/>
    <s v="00001"/>
    <s v="0023404. ACCIONES DE CONTROL Y AUDITORIA"/>
    <s v="00001 - ACCION"/>
    <n v="54"/>
    <n v="27"/>
    <n v="13"/>
    <n v="13"/>
    <x v="4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1. PERSONAL ADMINISTRATIVO"/>
    <s v=" 1. PERSONAL ADMINISTRATIVO"/>
    <s v=" 9. PERSONAL DE CONFIANZA (RÉGIMEN LABORAL PÚBLICO)"/>
    <s v="0 . RECURSOS ORDINARIOS"/>
    <n v="28143"/>
    <n v="0"/>
    <n v="28143"/>
    <n v="10941.52"/>
    <n v="10941.52"/>
    <n v="2345.19"/>
    <n v="2345.19"/>
    <n v="2345.19"/>
    <n v="1444.97"/>
    <n v="2460.98"/>
    <n v="0"/>
    <n v="0"/>
    <n v="0"/>
    <n v="0"/>
    <n v="0"/>
    <n v="0"/>
    <n v="0"/>
    <n v="2345.19"/>
    <n v="2345.19"/>
    <n v="2345.19"/>
    <n v="1444.97"/>
    <n v="2460.98"/>
    <n v="0"/>
    <n v="0"/>
    <n v="0"/>
    <n v="0"/>
    <n v="0"/>
    <n v="0"/>
    <n v="0"/>
    <n v="2206.1799999999998"/>
    <n v="2348.15"/>
    <n v="2345.19"/>
    <n v="1432.39"/>
    <n v="2449.88"/>
    <n v="159.72999999999999"/>
    <n v="0"/>
    <n v="0"/>
    <n v="0"/>
    <n v="0"/>
    <n v="0"/>
    <n v="0"/>
    <n v="2206.1799999999998"/>
    <n v="2348.15"/>
    <n v="2345.19"/>
    <n v="1427.39"/>
    <n v="2449.88"/>
    <n v="159.72999999999999"/>
    <n v="0"/>
    <n v="0"/>
    <n v="0"/>
    <n v="0"/>
    <n v="0"/>
    <n v="0"/>
    <x v="0"/>
    <x v="2"/>
    <x v="2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1. PLANEAMIENTO Y PRESUPUESTO"/>
    <s v="20. SALUD"/>
    <s v="004. PLANEAMIENTO GUBERNAMENTAL"/>
    <s v="0005. PLANEAMIENTO INSTITUCIONAL"/>
    <s v="00001"/>
    <s v="0001179. PLANEAMIENTO Y PRESUPUESTO"/>
    <s v="00001 - ACCION"/>
    <n v="12"/>
    <n v="6"/>
    <n v="5"/>
    <n v="5"/>
    <x v="1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1. PERSONAL ADMINISTRATIVO"/>
    <s v=" 2. OTRAS RETRIBUCIONES Y COMPLEMENTOS"/>
    <s v=" 1. ASIGNACION A FONDOS PARA PERSONAL"/>
    <s v="0 . RECURSOS ORDINARIOS"/>
    <n v="57600"/>
    <n v="0"/>
    <n v="57600"/>
    <n v="57600"/>
    <n v="57600"/>
    <n v="5000"/>
    <n v="5000"/>
    <n v="5000"/>
    <n v="5000"/>
    <n v="5000"/>
    <n v="5000"/>
    <n v="5000"/>
    <n v="0"/>
    <n v="0"/>
    <n v="0"/>
    <n v="0"/>
    <n v="0"/>
    <n v="5000"/>
    <n v="5000"/>
    <n v="5000"/>
    <n v="5000"/>
    <n v="5000"/>
    <n v="5000"/>
    <n v="5000"/>
    <n v="0"/>
    <n v="0"/>
    <n v="0"/>
    <n v="0"/>
    <n v="0"/>
    <n v="0"/>
    <n v="5000"/>
    <n v="5000"/>
    <n v="5000"/>
    <n v="5000"/>
    <n v="10000"/>
    <n v="5000"/>
    <n v="0"/>
    <n v="0"/>
    <n v="0"/>
    <n v="0"/>
    <n v="0"/>
    <n v="0"/>
    <n v="5000"/>
    <n v="5000"/>
    <n v="5000"/>
    <n v="5000"/>
    <n v="10000"/>
    <n v="5000"/>
    <n v="0"/>
    <n v="0"/>
    <n v="0"/>
    <n v="0"/>
    <n v="0"/>
    <x v="0"/>
    <x v="3"/>
    <x v="3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1. PERSONAL ADMINISTRATIVO"/>
    <s v=" 2. OTRAS RETRIBUCIONES Y COMPLEMENTOS"/>
    <s v=" 1. ASIGNACION A FONDOS PARA PERSONAL"/>
    <s v="0 . RECURSOS ORDINARIOS"/>
    <n v="729600"/>
    <n v="0"/>
    <n v="729600"/>
    <n v="729600"/>
    <n v="729600"/>
    <n v="70150"/>
    <n v="70150"/>
    <n v="70150"/>
    <n v="70150"/>
    <n v="70150"/>
    <n v="70150"/>
    <n v="70150"/>
    <n v="0"/>
    <n v="0"/>
    <n v="0"/>
    <n v="0"/>
    <n v="0"/>
    <n v="70150"/>
    <n v="70150"/>
    <n v="70150"/>
    <n v="70150"/>
    <n v="70150"/>
    <n v="70150"/>
    <n v="70150"/>
    <n v="0"/>
    <n v="0"/>
    <n v="0"/>
    <n v="0"/>
    <n v="0"/>
    <n v="0"/>
    <n v="70150"/>
    <n v="70150"/>
    <n v="70150"/>
    <n v="70150"/>
    <n v="140300"/>
    <n v="70150"/>
    <n v="0"/>
    <n v="0"/>
    <n v="0"/>
    <n v="0"/>
    <n v="0"/>
    <n v="0"/>
    <n v="70150"/>
    <n v="70150"/>
    <n v="70150"/>
    <n v="70150"/>
    <n v="140300"/>
    <n v="70150"/>
    <n v="0"/>
    <n v="0"/>
    <n v="0"/>
    <n v="0"/>
    <n v="0"/>
    <x v="0"/>
    <x v="3"/>
    <x v="3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5. GESTION DE RECURSOS HUMANOS"/>
    <s v="20. SALUD"/>
    <s v="006. GESTION"/>
    <s v="0011. PREPARACION Y PERFECCIONAMIENTO DE RECURSOS HUMANOS"/>
    <s v="00001"/>
    <s v="0053571. GESTION DE RECURSOS HUMANOS"/>
    <s v="00001 - ACCION"/>
    <n v="2426"/>
    <n v="1213"/>
    <n v="124"/>
    <n v="124"/>
    <x v="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1. PERSONAL ADMINISTRATIVO"/>
    <s v=" 2. OTRAS RETRIBUCIONES Y COMPLEMENTOS"/>
    <s v=" 1. ASIGNACION A FONDOS PARA PERSONAL"/>
    <s v="0 . RECURSOS ORDINARIOS"/>
    <n v="322000"/>
    <n v="0"/>
    <n v="322000"/>
    <n v="322000"/>
    <n v="322000"/>
    <n v="17650"/>
    <n v="17650"/>
    <n v="17650"/>
    <n v="17650"/>
    <n v="17650"/>
    <n v="17650"/>
    <n v="17650"/>
    <n v="0"/>
    <n v="0"/>
    <n v="0"/>
    <n v="0"/>
    <n v="0"/>
    <n v="17650"/>
    <n v="17650"/>
    <n v="17650"/>
    <n v="17650"/>
    <n v="17650"/>
    <n v="17650"/>
    <n v="17650"/>
    <n v="0"/>
    <n v="0"/>
    <n v="0"/>
    <n v="0"/>
    <n v="0"/>
    <n v="0"/>
    <n v="17650"/>
    <n v="17650"/>
    <n v="17650"/>
    <n v="17650"/>
    <n v="35300"/>
    <n v="17650"/>
    <n v="0"/>
    <n v="0"/>
    <n v="0"/>
    <n v="0"/>
    <n v="0"/>
    <n v="0"/>
    <n v="17650"/>
    <n v="17650"/>
    <n v="17650"/>
    <n v="17650"/>
    <n v="35300"/>
    <n v="17650"/>
    <n v="0"/>
    <n v="0"/>
    <n v="0"/>
    <n v="0"/>
    <n v="0"/>
    <x v="0"/>
    <x v="3"/>
    <x v="3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6. ACCIONES DE CONTROL Y AUDITORIA"/>
    <s v="20. SALUD"/>
    <s v="006. GESTION"/>
    <s v="0012. CONTROL INTERNO"/>
    <s v="00001"/>
    <s v="0023404. ACCIONES DE CONTROL Y AUDITORIA"/>
    <s v="00001 - ACCION"/>
    <n v="54"/>
    <n v="27"/>
    <n v="13"/>
    <n v="13"/>
    <x v="4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1. PERSONAL ADMINISTRATIVO"/>
    <s v=" 2. OTRAS RETRIBUCIONES Y COMPLEMENTOS"/>
    <s v=" 1. ASIGNACION A FONDOS PARA PERSONAL"/>
    <s v="0 . RECURSOS ORDINARIOS"/>
    <n v="40800"/>
    <n v="0"/>
    <n v="40800"/>
    <n v="40800"/>
    <n v="40800"/>
    <n v="3200"/>
    <n v="3200"/>
    <n v="3200"/>
    <n v="3200"/>
    <n v="3200"/>
    <n v="3200"/>
    <n v="3200"/>
    <n v="0"/>
    <n v="0"/>
    <n v="0"/>
    <n v="0"/>
    <n v="0"/>
    <n v="3200"/>
    <n v="3200"/>
    <n v="3200"/>
    <n v="3200"/>
    <n v="3200"/>
    <n v="3200"/>
    <n v="3200"/>
    <n v="0"/>
    <n v="0"/>
    <n v="0"/>
    <n v="0"/>
    <n v="0"/>
    <n v="0"/>
    <n v="3200"/>
    <n v="3200"/>
    <n v="3200"/>
    <n v="3200"/>
    <n v="6400"/>
    <n v="3200"/>
    <n v="0"/>
    <n v="0"/>
    <n v="0"/>
    <n v="0"/>
    <n v="0"/>
    <n v="0"/>
    <n v="3200"/>
    <n v="3200"/>
    <n v="3200"/>
    <n v="3200"/>
    <n v="6400"/>
    <n v="3200"/>
    <n v="0"/>
    <n v="0"/>
    <n v="0"/>
    <n v="0"/>
    <n v="0"/>
    <x v="0"/>
    <x v="3"/>
    <x v="3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195. SERVICIOS GENERALES"/>
    <s v="20. SALUD"/>
    <s v="044. SALUD INDIVIDUAL"/>
    <s v="0096. ATENCION MEDICA BASICA"/>
    <s v="00001"/>
    <s v="0000299. BRINDAR ATENCION BASICA DE SALUD"/>
    <s v="00107 - SERVICIO"/>
    <n v="107"/>
    <n v="53"/>
    <n v="45"/>
    <n v="45"/>
    <x v="5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1. PERSONAL ADMINISTRATIVO"/>
    <s v=" 2. OTRAS RETRIBUCIONES Y COMPLEMENTOS"/>
    <s v=" 1. ASIGNACION A FONDOS PARA PERSONAL"/>
    <s v="0 . RECURSOS ORDINARIO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"/>
    <x v="3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5. GESTION DE RECURSOS HUMANOS"/>
    <s v="20. SALUD"/>
    <s v="006. GESTION"/>
    <s v="0011. PREPARACION Y PERFECCIONAMIENTO DE RECURSOS HUMANOS"/>
    <s v="00001"/>
    <s v="0053571. GESTION DE RECURSOS HUMANOS"/>
    <s v="00001 - ACCION"/>
    <n v="2426"/>
    <n v="1213"/>
    <n v="124"/>
    <n v="124"/>
    <x v="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1. PERSONAL ADMINISTRATIVO"/>
    <s v=" 2. OTRAS RETRIBUCIONES Y COMPLEMENTOS"/>
    <s v="99. OTRAS RETRIBUCIONES Y COMPLEMENTOS"/>
    <s v="0 . RECURSOS ORDINARIO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4"/>
    <x v="4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315."/>
    <s v="5.ACTIVIDAD"/>
    <s v="5000031. BRINDAR ATENCION A OTRAS ENFERMEDADES PREVALENTES"/>
    <s v="20. SALUD"/>
    <s v="044. SALUD INDIVIDUAL"/>
    <s v="0096. ATENCION MEDICA BASICA"/>
    <s v="00001"/>
    <s v="0033315. ATENCION DE OTRAS ENFERMEDADES PREVALENTES"/>
    <s v="00016 - CASO TRATADO"/>
    <n v="440"/>
    <n v="220"/>
    <n v="198"/>
    <n v="198"/>
    <x v="6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99701"/>
    <n v="9556"/>
    <n v="109257"/>
    <n v="76544.56"/>
    <n v="76544.56"/>
    <n v="10904"/>
    <n v="10904"/>
    <n v="10904"/>
    <n v="10904"/>
    <n v="11120.56"/>
    <n v="10904"/>
    <n v="10904"/>
    <n v="0"/>
    <n v="0"/>
    <n v="0"/>
    <n v="0"/>
    <n v="0"/>
    <n v="10904"/>
    <n v="10904"/>
    <n v="10904"/>
    <n v="10904"/>
    <n v="11120.56"/>
    <n v="10904"/>
    <n v="10904"/>
    <n v="0"/>
    <n v="0"/>
    <n v="0"/>
    <n v="0"/>
    <n v="0"/>
    <n v="8280.9500000000007"/>
    <n v="9390.81"/>
    <n v="12400.1"/>
    <n v="8467.73"/>
    <n v="12421.06"/>
    <n v="13000.88"/>
    <n v="8638.17"/>
    <n v="0"/>
    <n v="0"/>
    <n v="0"/>
    <n v="0"/>
    <n v="0"/>
    <n v="8280.9500000000007"/>
    <n v="9051.5499999999993"/>
    <n v="12400.1"/>
    <n v="8806.99"/>
    <n v="12421.06"/>
    <n v="13000.88"/>
    <n v="8638.17"/>
    <n v="0"/>
    <n v="0"/>
    <n v="0"/>
    <n v="0"/>
    <n v="0"/>
    <x v="0"/>
    <x v="5"/>
    <x v="5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00001."/>
    <s v="5.ACTIVIDAD"/>
    <s v="5004389. DESARROLLO DE NORMAS Y GUIAS TECNICAS EN SALUD MATERNO NEONATAL"/>
    <s v="20. SALUD"/>
    <s v="043. SALUD COLECTIVA"/>
    <s v="0093. REGULACION Y CONTROL SANITARIO"/>
    <s v="00001"/>
    <s v="0033287. DESARROLLO DE NORMAS Y GUIAS TECNICAS EN SALUD MATERNO NEONATAL"/>
    <s v="00080 - NORMA"/>
    <n v="2"/>
    <n v="1"/>
    <n v="0"/>
    <n v="0"/>
    <x v="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44599"/>
    <n v="-43698"/>
    <n v="901"/>
    <n v="900.22"/>
    <n v="900.22"/>
    <n v="0"/>
    <n v="0"/>
    <n v="0"/>
    <n v="900.22"/>
    <n v="0"/>
    <n v="0"/>
    <n v="0"/>
    <n v="0"/>
    <n v="0"/>
    <n v="0"/>
    <n v="0"/>
    <n v="0"/>
    <n v="0"/>
    <n v="0"/>
    <n v="0"/>
    <n v="900.22"/>
    <n v="0"/>
    <n v="0"/>
    <n v="0"/>
    <n v="0"/>
    <n v="0"/>
    <n v="0"/>
    <n v="0"/>
    <n v="0"/>
    <n v="0"/>
    <n v="0"/>
    <n v="0"/>
    <n v="0"/>
    <n v="900.22"/>
    <n v="0"/>
    <n v="0"/>
    <n v="0"/>
    <n v="0"/>
    <n v="0"/>
    <n v="0"/>
    <n v="0"/>
    <n v="0"/>
    <n v="0"/>
    <n v="0"/>
    <n v="0"/>
    <n v="900.22"/>
    <n v="0"/>
    <n v="0"/>
    <n v="0"/>
    <n v="0"/>
    <n v="0"/>
    <n v="0"/>
    <n v="0"/>
    <x v="0"/>
    <x v="5"/>
    <x v="5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00005."/>
    <s v="5.ACTIVIDAD"/>
    <s v="5000058. BRINDAR SERVICIOS DE SALUD PARA PREVENCION DEL EMBARAZO A ADOLESCENTES"/>
    <s v="20. SALUD"/>
    <s v="044. SALUD INDIVIDUAL"/>
    <s v="0096. ATENCION MEDICA BASICA"/>
    <s v="00001"/>
    <s v="0053220. ADOLESCENTES ACCEDEN A SERVICIOS DE SALUD PARA PREVENCION DEL EMBARAZO"/>
    <s v="00150 - ADOLESCENTE"/>
    <n v="200"/>
    <n v="100"/>
    <n v="0"/>
    <n v="0"/>
    <x v="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40128"/>
    <n v="0"/>
    <n v="40128"/>
    <n v="23441.83"/>
    <n v="23441.83"/>
    <n v="3344"/>
    <n v="3344"/>
    <n v="3344"/>
    <n v="3344"/>
    <n v="3377.83"/>
    <n v="3344"/>
    <n v="3344"/>
    <n v="0"/>
    <n v="0"/>
    <n v="0"/>
    <n v="0"/>
    <n v="0"/>
    <n v="3344"/>
    <n v="3344"/>
    <n v="3344"/>
    <n v="3344"/>
    <n v="3377.83"/>
    <n v="3344"/>
    <n v="3344"/>
    <n v="0"/>
    <n v="0"/>
    <n v="0"/>
    <n v="0"/>
    <n v="0"/>
    <n v="2948.4"/>
    <n v="3335.04"/>
    <n v="3343.12"/>
    <n v="3344.88"/>
    <n v="3350"/>
    <n v="3479.89"/>
    <n v="3213.06"/>
    <n v="0"/>
    <n v="0"/>
    <n v="0"/>
    <n v="0"/>
    <n v="0"/>
    <n v="2948.4"/>
    <n v="3335.04"/>
    <n v="3343.12"/>
    <n v="3344.88"/>
    <n v="3350"/>
    <n v="3479.89"/>
    <n v="3213.06"/>
    <n v="0"/>
    <n v="0"/>
    <n v="0"/>
    <n v="0"/>
    <n v="0"/>
    <x v="0"/>
    <x v="5"/>
    <x v="5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172."/>
    <s v="5.ACTIVIDAD"/>
    <s v="5000037. BRINDAR ATENCION PRENATAL REENFOCADA"/>
    <s v="20. SALUD"/>
    <s v="044. SALUD INDIVIDUAL"/>
    <s v="0096. ATENCION MEDICA BASICA"/>
    <s v="00001"/>
    <s v="0033172. ATENCION PRENATAL REENFOCADA"/>
    <s v="00058 - GESTANTE CONTROLADA"/>
    <n v="3140"/>
    <n v="1570"/>
    <n v="1605"/>
    <n v="1605"/>
    <x v="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309301"/>
    <n v="36363"/>
    <n v="345664"/>
    <n v="237483.34"/>
    <n v="237483.34"/>
    <n v="33870"/>
    <n v="33870"/>
    <n v="33870"/>
    <n v="33870"/>
    <n v="34263.339999999997"/>
    <n v="33870"/>
    <n v="33870"/>
    <n v="0"/>
    <n v="0"/>
    <n v="0"/>
    <n v="0"/>
    <n v="0"/>
    <n v="33870"/>
    <n v="33870"/>
    <n v="33870"/>
    <n v="33870"/>
    <n v="34263.339999999997"/>
    <n v="33870"/>
    <n v="33870"/>
    <n v="0"/>
    <n v="0"/>
    <n v="0"/>
    <n v="0"/>
    <n v="0"/>
    <n v="25858.55"/>
    <n v="32010.78"/>
    <n v="34544.410000000003"/>
    <n v="33248.85"/>
    <n v="34054.49"/>
    <n v="38329.01"/>
    <n v="28995.9"/>
    <n v="0"/>
    <n v="0"/>
    <n v="0"/>
    <n v="0"/>
    <n v="0"/>
    <n v="25858.55"/>
    <n v="31479.77"/>
    <n v="34544.410000000003"/>
    <n v="33779.86"/>
    <n v="34054.49"/>
    <n v="38329.01"/>
    <n v="28995.9"/>
    <n v="0"/>
    <n v="0"/>
    <n v="0"/>
    <n v="0"/>
    <n v="0"/>
    <x v="0"/>
    <x v="5"/>
    <x v="5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4."/>
    <s v="5.ACTIVIDAD"/>
    <s v="5000044. BRINDAR ATENCION A LA GESTANTE CON COMPLICACIONES"/>
    <s v="20. SALUD"/>
    <s v="044. SALUD INDIVIDUAL"/>
    <s v="0097. ATENCION MEDICA ESPECIALIZADA"/>
    <s v="00001"/>
    <s v="0033294. ATENCION DE LA GESTANTE CON COMPLICACIONES"/>
    <s v="00016 - CASO TRATADO"/>
    <n v="4100"/>
    <n v="2050"/>
    <n v="1830"/>
    <n v="1830"/>
    <x v="1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690607"/>
    <n v="0"/>
    <n v="690607"/>
    <n v="407229.97"/>
    <n v="407229.97"/>
    <n v="58099"/>
    <n v="58099"/>
    <n v="58099"/>
    <n v="58099"/>
    <n v="58635.97"/>
    <n v="58099"/>
    <n v="58099"/>
    <n v="0"/>
    <n v="0"/>
    <n v="0"/>
    <n v="0"/>
    <n v="0"/>
    <n v="58099"/>
    <n v="58099"/>
    <n v="58099"/>
    <n v="58099"/>
    <n v="58635.97"/>
    <n v="58099"/>
    <n v="58099"/>
    <n v="0"/>
    <n v="0"/>
    <n v="0"/>
    <n v="0"/>
    <n v="0"/>
    <n v="39981.21"/>
    <n v="57929.4"/>
    <n v="58984.74"/>
    <n v="56539.26"/>
    <n v="58509.64"/>
    <n v="66157.16"/>
    <n v="51533.91"/>
    <n v="0"/>
    <n v="0"/>
    <n v="0"/>
    <n v="0"/>
    <n v="0"/>
    <n v="39981.21"/>
    <n v="57300.82"/>
    <n v="59053.02"/>
    <n v="57011.86"/>
    <n v="58323.95"/>
    <n v="65878.320000000007"/>
    <n v="51444"/>
    <n v="0"/>
    <n v="0"/>
    <n v="0"/>
    <n v="0"/>
    <n v="0"/>
    <x v="0"/>
    <x v="5"/>
    <x v="5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5."/>
    <s v="5.ACTIVIDAD"/>
    <s v="5000045. BRINDAR ATENCION DE PARTO NORMAL"/>
    <s v="20. SALUD"/>
    <s v="044. SALUD INDIVIDUAL"/>
    <s v="0096. ATENCION MEDICA BASICA"/>
    <s v="00001"/>
    <s v="0033295. ATENCION DEL PARTO NORMAL"/>
    <s v="00208 - PARTO NORMAL"/>
    <n v="1400"/>
    <n v="700"/>
    <n v="447"/>
    <n v="447"/>
    <x v="11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211032"/>
    <n v="57175"/>
    <n v="268207"/>
    <n v="187830.79"/>
    <n v="187830.79"/>
    <n v="26792"/>
    <n v="26792"/>
    <n v="26792"/>
    <n v="26792"/>
    <n v="27078.79"/>
    <n v="26792"/>
    <n v="26792"/>
    <n v="0"/>
    <n v="0"/>
    <n v="0"/>
    <n v="0"/>
    <n v="0"/>
    <n v="26792"/>
    <n v="26792"/>
    <n v="26792"/>
    <n v="26792"/>
    <n v="27078.79"/>
    <n v="26792"/>
    <n v="26792"/>
    <n v="0"/>
    <n v="0"/>
    <n v="0"/>
    <n v="0"/>
    <n v="0"/>
    <n v="19604.78"/>
    <n v="26328.7"/>
    <n v="27676.83"/>
    <n v="26080.94"/>
    <n v="27386.33"/>
    <n v="30534.81"/>
    <n v="24890.12"/>
    <n v="0"/>
    <n v="0"/>
    <n v="0"/>
    <n v="0"/>
    <n v="0"/>
    <n v="19604.78"/>
    <n v="26101.57"/>
    <n v="27676.83"/>
    <n v="26308.07"/>
    <n v="27386.33"/>
    <n v="30534.81"/>
    <n v="24890.12"/>
    <n v="0"/>
    <n v="0"/>
    <n v="0"/>
    <n v="0"/>
    <n v="0"/>
    <x v="0"/>
    <x v="5"/>
    <x v="5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6."/>
    <s v="5.ACTIVIDAD"/>
    <s v="5000046. BRINDAR ATENCION DEL PARTO COMPLICADO NO QUIRURGICO"/>
    <s v="20. SALUD"/>
    <s v="044. SALUD INDIVIDUAL"/>
    <s v="0097. ATENCION MEDICA ESPECIALIZADA"/>
    <s v="00001"/>
    <s v="0033296. ATENCION DEL PARTO COMPLICADO NO QUIRURGICO"/>
    <s v="00209 - PARTO COMPLICADO"/>
    <n v="1420"/>
    <n v="710"/>
    <n v="443"/>
    <n v="443"/>
    <x v="1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87452"/>
    <n v="0"/>
    <n v="87452"/>
    <n v="31333.040000000001"/>
    <n v="31333.040000000001"/>
    <n v="4471"/>
    <n v="4471"/>
    <n v="4471"/>
    <n v="4471"/>
    <n v="4507.04"/>
    <n v="4471"/>
    <n v="4471"/>
    <n v="0"/>
    <n v="0"/>
    <n v="0"/>
    <n v="0"/>
    <n v="0"/>
    <n v="4471"/>
    <n v="4471"/>
    <n v="4471"/>
    <n v="4471"/>
    <n v="4507.04"/>
    <n v="4471"/>
    <n v="4471"/>
    <n v="0"/>
    <n v="0"/>
    <n v="0"/>
    <n v="0"/>
    <n v="0"/>
    <n v="3952.75"/>
    <n v="2664.6"/>
    <n v="4497"/>
    <n v="4445"/>
    <n v="4470"/>
    <n v="4711.04"/>
    <n v="4267"/>
    <n v="0"/>
    <n v="0"/>
    <n v="0"/>
    <n v="0"/>
    <n v="0"/>
    <n v="3952.75"/>
    <n v="2664.6"/>
    <n v="4497"/>
    <n v="4445"/>
    <n v="4470"/>
    <n v="4711.04"/>
    <n v="4267"/>
    <n v="0"/>
    <n v="0"/>
    <n v="0"/>
    <n v="0"/>
    <n v="0"/>
    <x v="0"/>
    <x v="5"/>
    <x v="5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7."/>
    <s v="5.ACTIVIDAD"/>
    <s v="5000047. BRINDAR ATENCION DEL PARTO COMPLICADO QUIRURGICO"/>
    <s v="20. SALUD"/>
    <s v="044. SALUD INDIVIDUAL"/>
    <s v="0097. ATENCION MEDICA ESPECIALIZADA"/>
    <s v="00001"/>
    <s v="0033297. ATENCION DEL PARTO COMPLICADO QUIRURGICO"/>
    <s v="00210 - CESAREA"/>
    <n v="1550"/>
    <n v="775"/>
    <n v="747"/>
    <n v="747"/>
    <x v="1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1253652"/>
    <n v="48999"/>
    <n v="1302651"/>
    <n v="1019387.25"/>
    <n v="1019387.25"/>
    <n v="146806"/>
    <n v="150480.44"/>
    <n v="143806"/>
    <n v="143806"/>
    <n v="149050.39000000001"/>
    <n v="143806.01"/>
    <n v="141632.41"/>
    <n v="0"/>
    <n v="0"/>
    <n v="0"/>
    <n v="0"/>
    <n v="0"/>
    <n v="146806"/>
    <n v="150480.44"/>
    <n v="143806"/>
    <n v="143806"/>
    <n v="149050.39000000001"/>
    <n v="143806.01"/>
    <n v="141632.41"/>
    <n v="0"/>
    <n v="0"/>
    <n v="0"/>
    <n v="0"/>
    <n v="0"/>
    <n v="117376.61"/>
    <n v="149419.26999999999"/>
    <n v="145944.76"/>
    <n v="139754.64000000001"/>
    <n v="149302.81"/>
    <n v="159435.39000000001"/>
    <n v="127735.79"/>
    <n v="0"/>
    <n v="0"/>
    <n v="0"/>
    <n v="0"/>
    <n v="0"/>
    <n v="117376.61"/>
    <n v="148777.38"/>
    <n v="146006.31"/>
    <n v="140275.5"/>
    <n v="149243.70000000001"/>
    <n v="159376.85999999999"/>
    <n v="127676.83"/>
    <n v="0"/>
    <n v="0"/>
    <n v="0"/>
    <n v="0"/>
    <n v="0"/>
    <x v="0"/>
    <x v="5"/>
    <x v="5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8."/>
    <s v="5.ACTIVIDAD"/>
    <s v="5000048. ATENDER EL PUERPERIO"/>
    <s v="20. SALUD"/>
    <s v="044. SALUD INDIVIDUAL"/>
    <s v="0096. ATENCION MEDICA BASICA"/>
    <s v="00001"/>
    <s v="0033298. ATENCION DEL PUERPERIO"/>
    <s v="00628 - DELITO ATENDIDO"/>
    <n v="150"/>
    <n v="75"/>
    <n v="15"/>
    <n v="15"/>
    <x v="14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133488"/>
    <n v="0"/>
    <n v="133488"/>
    <n v="23445"/>
    <n v="23445"/>
    <n v="7815"/>
    <n v="7815"/>
    <n v="7815"/>
    <n v="0"/>
    <n v="0"/>
    <n v="0"/>
    <n v="0"/>
    <n v="0"/>
    <n v="0"/>
    <n v="0"/>
    <n v="0"/>
    <n v="0"/>
    <n v="7815"/>
    <n v="7815"/>
    <n v="7815"/>
    <n v="0"/>
    <n v="0"/>
    <n v="0"/>
    <n v="0"/>
    <n v="0"/>
    <n v="0"/>
    <n v="0"/>
    <n v="0"/>
    <n v="0"/>
    <n v="2682.56"/>
    <n v="7902.11"/>
    <n v="10771.88"/>
    <n v="2062.13"/>
    <n v="26.32"/>
    <n v="0"/>
    <n v="0"/>
    <n v="0"/>
    <n v="0"/>
    <n v="0"/>
    <n v="0"/>
    <n v="0"/>
    <n v="2682.56"/>
    <n v="7902.11"/>
    <n v="10771.88"/>
    <n v="2062.13"/>
    <n v="26.32"/>
    <n v="0"/>
    <n v="0"/>
    <n v="0"/>
    <n v="0"/>
    <n v="0"/>
    <n v="0"/>
    <n v="0"/>
    <x v="0"/>
    <x v="5"/>
    <x v="5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9."/>
    <s v="5.ACTIVIDAD"/>
    <s v="5000049. ATENDER EL PUERPERIO CON COMPLICACIONES"/>
    <s v="20. SALUD"/>
    <s v="044. SALUD INDIVIDUAL"/>
    <s v="0097. ATENCION MEDICA ESPECIALIZADA"/>
    <s v="00001"/>
    <s v="0033299. ATENCION DEL PUERPERIO CON COMPLICACIONES"/>
    <s v="00016 - CASO TRATADO"/>
    <n v="240"/>
    <n v="120"/>
    <n v="94"/>
    <n v="94"/>
    <x v="15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145125"/>
    <n v="0"/>
    <n v="145125"/>
    <n v="72536.539999999994"/>
    <n v="72536.539999999994"/>
    <n v="10348"/>
    <n v="10348"/>
    <n v="10348"/>
    <n v="10348"/>
    <n v="10448.540000000001"/>
    <n v="10348"/>
    <n v="10348"/>
    <n v="0"/>
    <n v="0"/>
    <n v="0"/>
    <n v="0"/>
    <n v="0"/>
    <n v="10348"/>
    <n v="10348"/>
    <n v="10348"/>
    <n v="10348"/>
    <n v="10448.540000000001"/>
    <n v="10348"/>
    <n v="10348"/>
    <n v="0"/>
    <n v="0"/>
    <n v="0"/>
    <n v="0"/>
    <n v="0"/>
    <n v="8766.5499999999993"/>
    <n v="10323.86"/>
    <n v="10536.83"/>
    <n v="9964.44"/>
    <n v="10501.51"/>
    <n v="11032.4"/>
    <n v="9826.48"/>
    <n v="0"/>
    <n v="0"/>
    <n v="0"/>
    <n v="0"/>
    <n v="0"/>
    <n v="8766.5499999999993"/>
    <n v="10129.33"/>
    <n v="10536.83"/>
    <n v="10158.969999999999"/>
    <n v="10501.51"/>
    <n v="11032.4"/>
    <n v="9826.48"/>
    <n v="0"/>
    <n v="0"/>
    <n v="0"/>
    <n v="0"/>
    <n v="0"/>
    <x v="0"/>
    <x v="5"/>
    <x v="5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0."/>
    <s v="5.ACTIVIDAD"/>
    <s v="5000050. ATENDER COMPLICACIONES OBSTETRICAS EN UNIDAD DE CUIDADOS INTENSIVOS"/>
    <s v="20. SALUD"/>
    <s v="044. SALUD INDIVIDUAL"/>
    <s v="0097. ATENCION MEDICA ESPECIALIZADA"/>
    <s v="00001"/>
    <s v="0033300. ATENCION OBSTETRICA EN UNIDAD DE CUIDADOS INTENSIVOS"/>
    <s v="00016 - CASO TRATADO"/>
    <n v="68"/>
    <n v="34"/>
    <n v="16"/>
    <n v="16"/>
    <x v="16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359454"/>
    <n v="-9000"/>
    <n v="350454"/>
    <n v="251708.04"/>
    <n v="251708.04"/>
    <n v="37174"/>
    <n v="37174"/>
    <n v="37174"/>
    <n v="37174"/>
    <n v="37606.04"/>
    <n v="32703"/>
    <n v="32703"/>
    <n v="0"/>
    <n v="0"/>
    <n v="0"/>
    <n v="0"/>
    <n v="0"/>
    <n v="37174"/>
    <n v="37174"/>
    <n v="37174"/>
    <n v="37174"/>
    <n v="37606.04"/>
    <n v="32703"/>
    <n v="32703"/>
    <n v="0"/>
    <n v="0"/>
    <n v="0"/>
    <n v="0"/>
    <n v="0"/>
    <n v="28172.86"/>
    <n v="37783.54"/>
    <n v="37446.92"/>
    <n v="36498.800000000003"/>
    <n v="34881.879999999997"/>
    <n v="36245.57"/>
    <n v="30110.959999999999"/>
    <n v="0"/>
    <n v="0"/>
    <n v="0"/>
    <n v="0"/>
    <n v="0"/>
    <n v="28172.86"/>
    <n v="36844.379999999997"/>
    <n v="37446.92"/>
    <n v="37437.96"/>
    <n v="34881.879999999997"/>
    <n v="36245.57"/>
    <n v="30110.959999999999"/>
    <n v="0"/>
    <n v="0"/>
    <n v="0"/>
    <n v="0"/>
    <n v="0"/>
    <x v="0"/>
    <x v="5"/>
    <x v="5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5."/>
    <s v="5.ACTIVIDAD"/>
    <s v="5000053. ATENDER AL RECIEN NACIDO NORMAL"/>
    <s v="20. SALUD"/>
    <s v="044. SALUD INDIVIDUAL"/>
    <s v="0096. ATENCION MEDICA BASICA"/>
    <s v="00001"/>
    <s v="0033305. ATENCION DEL RECIEN NACIDO NORMAL"/>
    <s v="00239 - RECIEN NACIDO ATENDIDO"/>
    <n v="7546"/>
    <n v="3773"/>
    <n v="2820"/>
    <n v="2820"/>
    <x v="1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656036"/>
    <n v="52298"/>
    <n v="708334"/>
    <n v="493023.45"/>
    <n v="493023.45"/>
    <n v="68426"/>
    <n v="68426"/>
    <n v="68426"/>
    <n v="71770"/>
    <n v="72435.45"/>
    <n v="71770"/>
    <n v="71770"/>
    <n v="0"/>
    <n v="0"/>
    <n v="0"/>
    <n v="0"/>
    <n v="0"/>
    <n v="68426"/>
    <n v="68426"/>
    <n v="68426"/>
    <n v="71770"/>
    <n v="72435.45"/>
    <n v="71770"/>
    <n v="71770"/>
    <n v="0"/>
    <n v="0"/>
    <n v="0"/>
    <n v="0"/>
    <n v="0"/>
    <n v="51750.93"/>
    <n v="68204.240000000005"/>
    <n v="69621.440000000002"/>
    <n v="71049.039999999994"/>
    <n v="71300.28"/>
    <n v="84061.49"/>
    <n v="59529.47"/>
    <n v="0"/>
    <n v="0"/>
    <n v="0"/>
    <n v="0"/>
    <n v="0"/>
    <n v="51750.93"/>
    <n v="67388.56"/>
    <n v="69648.81"/>
    <n v="71837.350000000006"/>
    <n v="71300.28"/>
    <n v="84061.49"/>
    <n v="56446.65"/>
    <n v="0"/>
    <n v="0"/>
    <n v="0"/>
    <n v="0"/>
    <n v="0"/>
    <x v="0"/>
    <x v="5"/>
    <x v="5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6."/>
    <s v="5.ACTIVIDAD"/>
    <s v="5000054. ATENDER AL RECIEN NACIDO CON COMPLICACIONES"/>
    <s v="20. SALUD"/>
    <s v="044. SALUD INDIVIDUAL"/>
    <s v="0097. ATENCION MEDICA ESPECIALIZADA"/>
    <s v="00001"/>
    <s v="0033306. ATENCION DEL RECIEN NACIDO CON COMPLICACIONES"/>
    <s v="00016 - CASO TRATADO"/>
    <n v="2469"/>
    <n v="1234"/>
    <n v="728"/>
    <n v="728"/>
    <x v="1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525912"/>
    <n v="0"/>
    <n v="525912"/>
    <n v="320286.34000000003"/>
    <n v="320286.34000000003"/>
    <n v="45800"/>
    <n v="45800"/>
    <n v="45028.72"/>
    <n v="45800"/>
    <n v="46257.62"/>
    <n v="45800"/>
    <n v="45800"/>
    <n v="0"/>
    <n v="0"/>
    <n v="0"/>
    <n v="0"/>
    <n v="0"/>
    <n v="45800"/>
    <n v="45800"/>
    <n v="45028.72"/>
    <n v="45800"/>
    <n v="46257.62"/>
    <n v="45800"/>
    <n v="45800"/>
    <n v="0"/>
    <n v="0"/>
    <n v="0"/>
    <n v="0"/>
    <n v="0"/>
    <n v="32768.949999999997"/>
    <n v="45704.37"/>
    <n v="46085.09"/>
    <n v="43993.63"/>
    <n v="47584.14"/>
    <n v="51271.58"/>
    <n v="42327.07"/>
    <n v="0"/>
    <n v="0"/>
    <n v="0"/>
    <n v="0"/>
    <n v="0"/>
    <n v="32768.949999999997"/>
    <n v="45361.34"/>
    <n v="46085.09"/>
    <n v="44336.66"/>
    <n v="47584.14"/>
    <n v="51271.58"/>
    <n v="42327.07"/>
    <n v="0"/>
    <n v="0"/>
    <n v="0"/>
    <n v="0"/>
    <n v="0"/>
    <x v="0"/>
    <x v="5"/>
    <x v="5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7."/>
    <s v="5.ACTIVIDAD"/>
    <s v="5000055. ATENDER AL RECIEN NACIDO CON COMPLICACIONES QUE REQUIERE UNIDAD DE CUIDADOS INTENSIVOS NEONATALES - UCIN"/>
    <s v="20. SALUD"/>
    <s v="044. SALUD INDIVIDUAL"/>
    <s v="0097. ATENCION MEDICA ESPECIALIZADA"/>
    <s v="00001"/>
    <s v="0033307. ATENCION DEL RECIEN NACIDO CON COMPLICACIONES QUE REQUIERE UNIDAD DE CUIDADOS INTENSIVOS NEONATALES - UCIN"/>
    <s v="00016 - CASO TRATADO"/>
    <n v="1148"/>
    <n v="574"/>
    <n v="436"/>
    <n v="436"/>
    <x v="1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303678"/>
    <n v="0"/>
    <n v="303678"/>
    <n v="236526.31"/>
    <n v="236526.31"/>
    <n v="33742"/>
    <n v="33742"/>
    <n v="33742"/>
    <n v="33742"/>
    <n v="34074.31"/>
    <n v="33742"/>
    <n v="33742"/>
    <n v="0"/>
    <n v="0"/>
    <n v="0"/>
    <n v="0"/>
    <n v="0"/>
    <n v="33742"/>
    <n v="33742"/>
    <n v="33742"/>
    <n v="33742"/>
    <n v="34074.31"/>
    <n v="33742"/>
    <n v="33742"/>
    <n v="0"/>
    <n v="0"/>
    <n v="0"/>
    <n v="0"/>
    <n v="0"/>
    <n v="23741.31"/>
    <n v="33883.480000000003"/>
    <n v="35782.99"/>
    <n v="31938.47"/>
    <n v="34455.08"/>
    <n v="37909.919999999998"/>
    <n v="30787.21"/>
    <n v="0"/>
    <n v="0"/>
    <n v="0"/>
    <n v="0"/>
    <n v="0"/>
    <n v="23741.31"/>
    <n v="33674.11"/>
    <n v="35796.370000000003"/>
    <n v="32134.46"/>
    <n v="34455.08"/>
    <n v="37909.919999999998"/>
    <n v="30787.21"/>
    <n v="0"/>
    <n v="0"/>
    <n v="0"/>
    <n v="0"/>
    <n v="0"/>
    <x v="0"/>
    <x v="5"/>
    <x v="5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14."/>
    <s v="5.ACTIVIDAD"/>
    <s v="5004438. DIAGNOSTICO DE CASOS DE TUBERCULOSIS"/>
    <s v="20. SALUD"/>
    <s v="044. SALUD INDIVIDUAL"/>
    <s v="0096. ATENCION MEDICA BASICA"/>
    <s v="00001"/>
    <s v="0043964. DIAGNOSTICO DE CASOS DE TUBERCULOSIS"/>
    <s v="00393 - TASA"/>
    <n v="140"/>
    <n v="70"/>
    <n v="48"/>
    <n v="48"/>
    <x v="2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53388"/>
    <n v="17861"/>
    <n v="71249"/>
    <n v="41588.480000000003"/>
    <n v="41588.480000000003"/>
    <n v="5932"/>
    <n v="5932"/>
    <n v="5932"/>
    <n v="5932"/>
    <n v="5996.48"/>
    <n v="5932"/>
    <n v="5932"/>
    <n v="0"/>
    <n v="0"/>
    <n v="0"/>
    <n v="0"/>
    <n v="0"/>
    <n v="5932"/>
    <n v="5932"/>
    <n v="5932"/>
    <n v="5932"/>
    <n v="5996.48"/>
    <n v="5932"/>
    <n v="5932"/>
    <n v="0"/>
    <n v="0"/>
    <n v="0"/>
    <n v="0"/>
    <n v="0"/>
    <n v="2077.0500000000002"/>
    <n v="5931.15"/>
    <n v="5906.62"/>
    <n v="5928.94"/>
    <n v="5934.43"/>
    <n v="6479.34"/>
    <n v="5450.4"/>
    <n v="0"/>
    <n v="0"/>
    <n v="0"/>
    <n v="0"/>
    <n v="0"/>
    <n v="2077.0500000000002"/>
    <n v="5914.27"/>
    <n v="5923.5"/>
    <n v="5928.94"/>
    <n v="5934.43"/>
    <n v="6479.34"/>
    <n v="5450.4"/>
    <n v="0"/>
    <n v="0"/>
    <n v="0"/>
    <n v="0"/>
    <n v="0"/>
    <x v="0"/>
    <x v="5"/>
    <x v="5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70."/>
    <s v="5.ACTIVIDAD"/>
    <s v="5000080. BRINDAR TRATAMIENTO OPORTUNO A MUJERES GESTANTES REACTIVAS Y NIÑOS EXPUESTOS AL VIH"/>
    <s v="20. SALUD"/>
    <s v="044. SALUD INDIVIDUAL"/>
    <s v="0096. ATENCION MEDICA BASICA"/>
    <s v="00001"/>
    <s v="0136039. BRINDAR TRATAMIENTO OPORTUNO A MUJERES GESTANTES REACTIVAS Y NIÑOS EXPUESTOS AL VIH"/>
    <s v="00207 - GESTANTE ATENDIDA"/>
    <n v="13"/>
    <n v="7"/>
    <n v="6"/>
    <n v="6"/>
    <x v="21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40239"/>
    <n v="0"/>
    <n v="40239"/>
    <n v="17850.330000000002"/>
    <n v="17850.330000000002"/>
    <n v="1009.58"/>
    <n v="7898.75"/>
    <n v="4471"/>
    <n v="0"/>
    <n v="4471"/>
    <n v="0"/>
    <n v="0"/>
    <n v="0"/>
    <n v="0"/>
    <n v="0"/>
    <n v="0"/>
    <n v="0"/>
    <n v="1009.58"/>
    <n v="7898.75"/>
    <n v="4471"/>
    <n v="0"/>
    <n v="4471"/>
    <n v="0"/>
    <n v="0"/>
    <n v="0"/>
    <n v="0"/>
    <n v="0"/>
    <n v="0"/>
    <n v="0"/>
    <n v="881.76"/>
    <n v="6925.78"/>
    <n v="4858.47"/>
    <n v="713.32"/>
    <n v="0"/>
    <n v="4471"/>
    <n v="0"/>
    <n v="0"/>
    <n v="0"/>
    <n v="0"/>
    <n v="0"/>
    <n v="0"/>
    <n v="881.76"/>
    <n v="6925.78"/>
    <n v="4858.47"/>
    <n v="713.32"/>
    <n v="0"/>
    <n v="4471"/>
    <n v="0"/>
    <n v="0"/>
    <n v="0"/>
    <n v="0"/>
    <n v="0"/>
    <n v="0"/>
    <x v="0"/>
    <x v="5"/>
    <x v="5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2."/>
    <s v="5.ACTIVIDAD"/>
    <s v="5000110. BRINDAR TRATAMIENTO A PACIENTES CON DIAGNOSTICO DE CATARATAS"/>
    <s v="20. SALUD"/>
    <s v="044. SALUD INDIVIDUAL"/>
    <s v="0097. ATENCION MEDICA ESPECIALIZADA"/>
    <s v="00001"/>
    <s v="0135994. BRINDAR TRATAMIENTO A PACIENTES CON DIAGNOSTICO DE CATARATAS"/>
    <s v="00394 - TECNICO"/>
    <n v="648"/>
    <n v="324"/>
    <n v="141"/>
    <n v="141"/>
    <x v="2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46768"/>
    <n v="0"/>
    <n v="46768"/>
    <n v="31350.32"/>
    <n v="31350.32"/>
    <n v="4471"/>
    <n v="4471"/>
    <n v="4471"/>
    <n v="4471"/>
    <n v="4524.32"/>
    <n v="4471"/>
    <n v="4471"/>
    <n v="0"/>
    <n v="0"/>
    <n v="0"/>
    <n v="0"/>
    <n v="0"/>
    <n v="4471"/>
    <n v="4471"/>
    <n v="4471"/>
    <n v="4471"/>
    <n v="4524.32"/>
    <n v="4471"/>
    <n v="4471"/>
    <n v="0"/>
    <n v="0"/>
    <n v="0"/>
    <n v="0"/>
    <n v="0"/>
    <n v="2540.15"/>
    <n v="4437.63"/>
    <n v="4750.71"/>
    <n v="3985.13"/>
    <n v="4713.83"/>
    <n v="5112.0200000000004"/>
    <n v="3926.78"/>
    <n v="0"/>
    <n v="0"/>
    <n v="0"/>
    <n v="0"/>
    <n v="0"/>
    <n v="2540.15"/>
    <n v="4224.1099999999997"/>
    <n v="4750.71"/>
    <n v="4198.6499999999996"/>
    <n v="4713.83"/>
    <n v="5112.0200000000004"/>
    <n v="3926.78"/>
    <n v="0"/>
    <n v="0"/>
    <n v="0"/>
    <n v="0"/>
    <n v="0"/>
    <x v="0"/>
    <x v="5"/>
    <x v="5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6."/>
    <s v="5.ACTIVIDAD"/>
    <s v="5000114. BRINDAR TRATAMIENTO A PERSONAS CON DIAGNOSTICO DE HIPERTENSION ARTERIAL"/>
    <s v="20. SALUD"/>
    <s v="044. SALUD INDIVIDUAL"/>
    <s v="0097. ATENCION MEDICA ESPECIALIZADA"/>
    <s v="00001"/>
    <s v="0135998. BRINDAR TRATAMIENTO A PERSONAS CON DIAGNOSTICO DE HIPERTENSION ARTERIAL"/>
    <s v="00394 - TECNICO"/>
    <n v="771"/>
    <n v="385"/>
    <n v="382"/>
    <n v="382"/>
    <x v="2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70335"/>
    <n v="0"/>
    <n v="70335"/>
    <n v="50314.27"/>
    <n v="50314.27"/>
    <n v="7815"/>
    <n v="7815"/>
    <n v="7815"/>
    <n v="7815"/>
    <n v="7895.27"/>
    <n v="7815"/>
    <n v="3344"/>
    <n v="0"/>
    <n v="0"/>
    <n v="0"/>
    <n v="0"/>
    <n v="0"/>
    <n v="7815"/>
    <n v="7815"/>
    <n v="7815"/>
    <n v="7815"/>
    <n v="7895.27"/>
    <n v="7815"/>
    <n v="3344"/>
    <n v="0"/>
    <n v="0"/>
    <n v="0"/>
    <n v="0"/>
    <n v="0"/>
    <n v="6803.8"/>
    <n v="7791.9"/>
    <n v="7840"/>
    <n v="7789.99"/>
    <n v="7813.01"/>
    <n v="8506.84"/>
    <n v="3346.66"/>
    <n v="0"/>
    <n v="0"/>
    <n v="0"/>
    <n v="0"/>
    <n v="0"/>
    <n v="6803.8"/>
    <n v="7791.9"/>
    <n v="7840"/>
    <n v="7789.99"/>
    <n v="7813.01"/>
    <n v="8506.84"/>
    <n v="3346.66"/>
    <n v="0"/>
    <n v="0"/>
    <n v="0"/>
    <n v="0"/>
    <n v="0"/>
    <x v="0"/>
    <x v="5"/>
    <x v="5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680."/>
    <s v="5.ACTIVIDAD"/>
    <s v="5006275. ATENCION ESTOMATOLOGICA PREVENTIVA BASICA"/>
    <s v="20. SALUD"/>
    <s v="044. SALUD INDIVIDUAL"/>
    <s v="0096. ATENCION MEDICA BASICA"/>
    <s v="00001"/>
    <s v="0053294. ATENCION ESTOMATOLOGICA PREVENTIVA BASICA"/>
    <s v="00087 - PERSONA ATENDIDA"/>
    <n v="15339"/>
    <n v="7669"/>
    <n v="904"/>
    <n v="904"/>
    <x v="24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5"/>
    <x v="5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65."/>
    <s v="5.ACTIVIDAD"/>
    <s v="5006012. DIAGNOSTICO DEL CANCER DE CUELLO UTERINO"/>
    <s v="20. SALUD"/>
    <s v="044. SALUD INDIVIDUAL"/>
    <s v="0097. ATENCION MEDICA ESPECIALIZADA"/>
    <s v="00001"/>
    <s v="0215085. DIAGNOSTICO DEL CANCER DE CUELLO UTERINO"/>
    <s v="00393 - TASA"/>
    <n v="128"/>
    <n v="64"/>
    <n v="17"/>
    <n v="17"/>
    <x v="25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36784"/>
    <n v="0"/>
    <n v="36784"/>
    <n v="27108"/>
    <n v="27108"/>
    <n v="27108"/>
    <n v="0"/>
    <n v="0"/>
    <n v="0"/>
    <n v="0"/>
    <n v="0"/>
    <n v="0"/>
    <n v="0"/>
    <n v="0"/>
    <n v="0"/>
    <n v="0"/>
    <n v="0"/>
    <n v="27108"/>
    <n v="0"/>
    <n v="0"/>
    <n v="0"/>
    <n v="0"/>
    <n v="0"/>
    <n v="0"/>
    <n v="0"/>
    <n v="0"/>
    <n v="0"/>
    <n v="0"/>
    <n v="0"/>
    <n v="18654.400000000001"/>
    <n v="8453.6"/>
    <n v="0"/>
    <n v="-41.45"/>
    <n v="41.45"/>
    <n v="0"/>
    <n v="0"/>
    <n v="0"/>
    <n v="0"/>
    <n v="0"/>
    <n v="0"/>
    <n v="0"/>
    <n v="18654.400000000001"/>
    <n v="8412.15"/>
    <n v="0"/>
    <n v="0"/>
    <n v="41.45"/>
    <n v="0"/>
    <n v="0"/>
    <n v="0"/>
    <n v="0"/>
    <n v="0"/>
    <n v="0"/>
    <n v="0"/>
    <x v="0"/>
    <x v="5"/>
    <x v="5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734."/>
    <s v="5.ACTIVIDAD"/>
    <s v="5005612. DESARROLLO DE LOS CENTROS Y ESPACIOS DE MONITOREO DE EMERGENCIAS Y DESASTRES"/>
    <s v="20. SALUD"/>
    <s v="016. GESTION DE RIESGOS Y EMERGENCIAS"/>
    <s v="0036. ATENCION INMEDIATA DE DESASTRES"/>
    <s v="00001"/>
    <s v="0160879. DESARROLLO DE LOS CENTROS Y ESPACIOS DE MONITOREO DE EMERGENCIAS Y DESASTRES"/>
    <s v="00248 - REPORTE"/>
    <n v="12"/>
    <n v="6"/>
    <n v="6"/>
    <n v="6"/>
    <x v="26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36784"/>
    <n v="0"/>
    <n v="367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5"/>
    <x v="5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2824. ATENCION AMBULATORIA DE URGENCIAS (PRIORIDAD III O IV) EN MODULOS HOSPITALARIOS DIFERENCIADOS AUTORIZADOS"/>
    <s v="20. SALUD"/>
    <s v="044. SALUD INDIVIDUAL"/>
    <s v="0096. ATENCION MEDICA BASICA"/>
    <s v="00001"/>
    <s v="0076144. ATENCION AMBULATORIA DE URGENCIAS (PRIORIDAD III O IV) EN MODULOS HOSPITALARIOS DIFERENCIADOS AUTORIZADOS"/>
    <s v="00006 - ATENCION"/>
    <n v="2000"/>
    <n v="1000"/>
    <n v="1994"/>
    <n v="1994"/>
    <x v="2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331336"/>
    <n v="47729"/>
    <n v="379065"/>
    <n v="279279.75"/>
    <n v="279279.75"/>
    <n v="39599"/>
    <n v="66707"/>
    <n v="39599"/>
    <n v="33263"/>
    <n v="33585.75"/>
    <n v="33263"/>
    <n v="33263"/>
    <n v="0"/>
    <n v="0"/>
    <n v="0"/>
    <n v="0"/>
    <n v="0"/>
    <n v="39599"/>
    <n v="66707"/>
    <n v="39599"/>
    <n v="33263"/>
    <n v="33585.75"/>
    <n v="33263"/>
    <n v="33263"/>
    <n v="0"/>
    <n v="0"/>
    <n v="0"/>
    <n v="0"/>
    <n v="0"/>
    <n v="31418.83"/>
    <n v="58506.15"/>
    <n v="49416.51"/>
    <n v="32864.699999999997"/>
    <n v="33735.230000000003"/>
    <n v="36113.050000000003"/>
    <n v="30840.92"/>
    <n v="0"/>
    <n v="0"/>
    <n v="0"/>
    <n v="0"/>
    <n v="0"/>
    <n v="31418.83"/>
    <n v="58429.74"/>
    <n v="49436.51"/>
    <n v="32921.11"/>
    <n v="33735.230000000003"/>
    <n v="36113.050000000003"/>
    <n v="30840.92"/>
    <n v="0"/>
    <n v="0"/>
    <n v="0"/>
    <n v="0"/>
    <n v="0"/>
    <x v="0"/>
    <x v="5"/>
    <x v="5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3. ATENCION DE LA EMERGENCIA Y URGENCIA ESPECIALIZADA"/>
    <s v="20. SALUD"/>
    <s v="044. SALUD INDIVIDUAL"/>
    <s v="0097. ATENCION MEDICA ESPECIALIZADA"/>
    <s v="00001"/>
    <s v="0188299. ATENCION DE LA EMERGENCIA Y URGENCIA ESPECIALIZADA"/>
    <s v="00006 - ATENCION"/>
    <n v="25000"/>
    <n v="12500"/>
    <n v="7470"/>
    <n v="7470"/>
    <x v="2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2446036"/>
    <n v="404032"/>
    <n v="2850068"/>
    <n v="2217860.54"/>
    <n v="2217860.54"/>
    <n v="293034"/>
    <n v="293034.40000000002"/>
    <n v="325202.46999999997"/>
    <n v="333123"/>
    <n v="341114.16"/>
    <n v="316248.71000000002"/>
    <n v="316103.8"/>
    <n v="0"/>
    <n v="0"/>
    <n v="0"/>
    <n v="0"/>
    <n v="0"/>
    <n v="293034"/>
    <n v="293034.40000000002"/>
    <n v="325202.46999999997"/>
    <n v="333123"/>
    <n v="341114.16"/>
    <n v="316248.71000000002"/>
    <n v="316103.8"/>
    <n v="0"/>
    <n v="0"/>
    <n v="0"/>
    <n v="0"/>
    <n v="0"/>
    <n v="221494"/>
    <n v="289865.84999999998"/>
    <n v="324463.92"/>
    <n v="320483.96999999997"/>
    <n v="338679.45"/>
    <n v="366413.29"/>
    <n v="275850.25"/>
    <n v="0"/>
    <n v="0"/>
    <n v="0"/>
    <n v="0"/>
    <n v="0"/>
    <n v="221494"/>
    <n v="286169.8"/>
    <n v="324647.75"/>
    <n v="323996.19"/>
    <n v="338679.45"/>
    <n v="366413.29"/>
    <n v="274734.56"/>
    <n v="0"/>
    <n v="0"/>
    <n v="0"/>
    <n v="0"/>
    <n v="0"/>
    <x v="0"/>
    <x v="5"/>
    <x v="5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4. ATENCION DE LA EMERGENCIA DE CUIDADOS INTENSIVOS"/>
    <s v="20. SALUD"/>
    <s v="044. SALUD INDIVIDUAL"/>
    <s v="0097. ATENCION MEDICA ESPECIALIZADA"/>
    <s v="00001"/>
    <s v="0188300. ATENCION DE LA EMERGENCIA DE CUIDADOS INTENSIVOS"/>
    <s v="00006 - ATENCION"/>
    <n v="400"/>
    <n v="200"/>
    <n v="128"/>
    <n v="128"/>
    <x v="2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398548"/>
    <n v="268084"/>
    <n v="666632"/>
    <n v="499974"/>
    <n v="499974"/>
    <n v="83329"/>
    <n v="83329"/>
    <n v="83329"/>
    <n v="83329"/>
    <n v="83329"/>
    <n v="0"/>
    <n v="83329"/>
    <n v="0"/>
    <n v="0"/>
    <n v="0"/>
    <n v="0"/>
    <n v="0"/>
    <n v="83329"/>
    <n v="83329"/>
    <n v="83329"/>
    <n v="83329"/>
    <n v="83329"/>
    <n v="0"/>
    <n v="83329"/>
    <n v="0"/>
    <n v="0"/>
    <n v="0"/>
    <n v="0"/>
    <n v="0"/>
    <n v="59789.36"/>
    <n v="84858.3"/>
    <n v="85337.88"/>
    <n v="79775.740000000005"/>
    <n v="85509.22"/>
    <n v="21374.5"/>
    <n v="64036.69"/>
    <n v="0"/>
    <n v="0"/>
    <n v="0"/>
    <n v="0"/>
    <n v="0"/>
    <n v="59789.36"/>
    <n v="84331.5"/>
    <n v="85365.440000000002"/>
    <n v="80274.98"/>
    <n v="85509.22"/>
    <n v="21374.5"/>
    <n v="64036.69"/>
    <n v="0"/>
    <n v="0"/>
    <n v="0"/>
    <n v="0"/>
    <n v="0"/>
    <x v="0"/>
    <x v="5"/>
    <x v="5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5. ATENCION DE LA EMERGENCIA QUIRURGICA"/>
    <s v="20. SALUD"/>
    <s v="044. SALUD INDIVIDUAL"/>
    <s v="0097. ATENCION MEDICA ESPECIALIZADA"/>
    <s v="00001"/>
    <s v="0188301. ATENCION DE LA EMERGENCIA QUIRURGICA"/>
    <s v="00006 - ATENCION"/>
    <n v="3000"/>
    <n v="1500"/>
    <n v="1405"/>
    <n v="1405"/>
    <x v="3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1117075"/>
    <n v="253861"/>
    <n v="1370936"/>
    <n v="1080991.22"/>
    <n v="1080991.22"/>
    <n v="138636"/>
    <n v="138636"/>
    <n v="138636"/>
    <n v="144972"/>
    <n v="146838.22"/>
    <n v="228301"/>
    <n v="144972"/>
    <n v="0"/>
    <n v="0"/>
    <n v="0"/>
    <n v="0"/>
    <n v="0"/>
    <n v="138636"/>
    <n v="138636"/>
    <n v="138636"/>
    <n v="144972"/>
    <n v="146838.22"/>
    <n v="228301"/>
    <n v="144972"/>
    <n v="0"/>
    <n v="0"/>
    <n v="0"/>
    <n v="0"/>
    <n v="0"/>
    <n v="101376.29"/>
    <n v="135219.01"/>
    <n v="142203.20000000001"/>
    <n v="141132.75"/>
    <n v="144568.10999999999"/>
    <n v="233008.03"/>
    <n v="143367.04000000001"/>
    <n v="0"/>
    <n v="0"/>
    <n v="0"/>
    <n v="0"/>
    <n v="0"/>
    <n v="101376.29"/>
    <n v="134558.76"/>
    <n v="142270.96"/>
    <n v="141725.24"/>
    <n v="144538.63"/>
    <n v="232955.72"/>
    <n v="142634.31"/>
    <n v="0"/>
    <n v="0"/>
    <n v="0"/>
    <n v="0"/>
    <n v="0"/>
    <x v="0"/>
    <x v="5"/>
    <x v="5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0"/>
    <s v=" ."/>
    <s v="3000688."/>
    <s v="5.ACTIVIDAD"/>
    <s v="5004449. CAPACITACION EN MEDICINA DE REHABILITACION"/>
    <s v="20. SALUD"/>
    <s v="044. SALUD INDIVIDUAL"/>
    <s v="0097. ATENCION MEDICA ESPECIALIZADA"/>
    <s v="00001"/>
    <s v="0136018. CAPACITACION EN MEDICINA DE REHABILITACION"/>
    <s v="00088 - PERSONA CAPACITADA"/>
    <n v="60"/>
    <n v="30"/>
    <n v="0"/>
    <n v="0"/>
    <x v="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95600"/>
    <n v="107"/>
    <n v="95707"/>
    <n v="67026.61"/>
    <n v="67026.61"/>
    <n v="9560"/>
    <n v="9560"/>
    <n v="9560"/>
    <n v="9560"/>
    <n v="9666.61"/>
    <n v="9560"/>
    <n v="9560"/>
    <n v="0"/>
    <n v="0"/>
    <n v="0"/>
    <n v="0"/>
    <n v="0"/>
    <n v="9560"/>
    <n v="9560"/>
    <n v="9560"/>
    <n v="9560"/>
    <n v="9666.61"/>
    <n v="9560"/>
    <n v="9560"/>
    <n v="0"/>
    <n v="0"/>
    <n v="0"/>
    <n v="0"/>
    <n v="0"/>
    <n v="6861.56"/>
    <n v="9315.69"/>
    <n v="10031.65"/>
    <n v="9193.34"/>
    <n v="9484.4699999999993"/>
    <n v="10477.370000000001"/>
    <n v="8921.8799999999992"/>
    <n v="0"/>
    <n v="0"/>
    <n v="0"/>
    <n v="0"/>
    <n v="0"/>
    <n v="6861.56"/>
    <n v="9124.2900000000009"/>
    <n v="10047.129999999999"/>
    <n v="9369.26"/>
    <n v="9484.4699999999993"/>
    <n v="10477.370000000001"/>
    <n v="8921.8799999999992"/>
    <n v="0"/>
    <n v="0"/>
    <n v="0"/>
    <n v="0"/>
    <n v="0"/>
    <x v="0"/>
    <x v="5"/>
    <x v="5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698."/>
    <s v="5.ACTIVIDAD"/>
    <s v="5005188. TAMIZAJE DE PERSONAS CON TRASTORNOS MENTALES Y PROBLEMAS PSICOSOCIALES"/>
    <s v="20. SALUD"/>
    <s v="044. SALUD INDIVIDUAL"/>
    <s v="0096. ATENCION MEDICA BASICA"/>
    <s v="00001"/>
    <s v="0136780. TAMIZAJE DE PERSONAS CON TRASTORNOS MENTALES Y PROBLEMAS PSICOSOCIALES"/>
    <s v="00438 - PULGADAS"/>
    <n v="310"/>
    <n v="155"/>
    <n v="273"/>
    <n v="273"/>
    <x v="31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243396"/>
    <n v="-8850"/>
    <n v="234546"/>
    <n v="164811.35999999999"/>
    <n v="164811.35999999999"/>
    <n v="24154"/>
    <n v="24154"/>
    <n v="24154"/>
    <n v="24154"/>
    <n v="24358.36"/>
    <n v="24154"/>
    <n v="19683"/>
    <n v="0"/>
    <n v="0"/>
    <n v="0"/>
    <n v="0"/>
    <n v="0"/>
    <n v="24154"/>
    <n v="24154"/>
    <n v="24154"/>
    <n v="24154"/>
    <n v="24358.36"/>
    <n v="24154"/>
    <n v="19683"/>
    <n v="0"/>
    <n v="0"/>
    <n v="0"/>
    <n v="0"/>
    <n v="0"/>
    <n v="20298.14"/>
    <n v="23381.5"/>
    <n v="24310.05"/>
    <n v="24104.6"/>
    <n v="23871.19"/>
    <n v="26955.19"/>
    <n v="17868.310000000001"/>
    <n v="0"/>
    <n v="0"/>
    <n v="0"/>
    <n v="0"/>
    <n v="0"/>
    <n v="20298.14"/>
    <n v="23366.13"/>
    <n v="24325.42"/>
    <n v="24104.6"/>
    <n v="23871.19"/>
    <n v="26955.19"/>
    <n v="17868.310000000001"/>
    <n v="0"/>
    <n v="0"/>
    <n v="0"/>
    <n v="0"/>
    <n v="0"/>
    <x v="0"/>
    <x v="5"/>
    <x v="5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5. GESTION DE RECURSOS HUMANOS"/>
    <s v="20. SALUD"/>
    <s v="006. GESTION"/>
    <s v="0011. PREPARACION Y PERFECCIONAMIENTO DE RECURSOS HUMANOS"/>
    <s v="00001"/>
    <s v="0053571. GESTION DE RECURSOS HUMANOS"/>
    <s v="00001 - ACCION"/>
    <n v="2426"/>
    <n v="1213"/>
    <n v="124"/>
    <n v="124"/>
    <x v="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2686128"/>
    <n v="-1014848"/>
    <n v="1671280"/>
    <n v="70823"/>
    <n v="70823"/>
    <n v="0"/>
    <n v="0"/>
    <n v="0"/>
    <n v="15630"/>
    <n v="15630"/>
    <n v="23533"/>
    <n v="16030"/>
    <n v="0"/>
    <n v="0"/>
    <n v="0"/>
    <n v="0"/>
    <n v="0"/>
    <n v="0"/>
    <n v="0"/>
    <n v="0"/>
    <n v="15630"/>
    <n v="15630"/>
    <n v="23533"/>
    <n v="16030"/>
    <n v="0"/>
    <n v="0"/>
    <n v="0"/>
    <n v="0"/>
    <n v="0"/>
    <n v="0"/>
    <n v="0"/>
    <n v="0"/>
    <n v="11423.09"/>
    <n v="16541.27"/>
    <n v="17324.73"/>
    <n v="21903.040000000001"/>
    <n v="0"/>
    <n v="0"/>
    <n v="0"/>
    <n v="0"/>
    <n v="0"/>
    <n v="0"/>
    <n v="0"/>
    <n v="0"/>
    <n v="11423.09"/>
    <n v="16541.27"/>
    <n v="17324.73"/>
    <n v="21903.040000000001"/>
    <n v="0"/>
    <n v="0"/>
    <n v="0"/>
    <n v="0"/>
    <n v="0"/>
    <x v="0"/>
    <x v="5"/>
    <x v="5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377. MEJORAMIENTO DE LA OFERTA DE LOS SERVICIOS DE SALUD"/>
    <s v="20. SALUD"/>
    <s v="044. SALUD INDIVIDUAL"/>
    <s v="0097. ATENCION MEDICA ESPECIALIZADA"/>
    <s v="00001"/>
    <s v="0006831. MEJORAR LA ATENCION A LA POBLACION"/>
    <s v="00006 - ATENCION"/>
    <n v="2400"/>
    <n v="1200"/>
    <n v="940"/>
    <n v="940"/>
    <x v="3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59108"/>
    <n v="0"/>
    <n v="59108"/>
    <n v="27456.6"/>
    <n v="27456.6"/>
    <n v="3900"/>
    <n v="3900"/>
    <n v="3900"/>
    <n v="3900"/>
    <n v="4056.6"/>
    <n v="3900"/>
    <n v="3900"/>
    <n v="0"/>
    <n v="0"/>
    <n v="0"/>
    <n v="0"/>
    <n v="0"/>
    <n v="3900"/>
    <n v="3900"/>
    <n v="3900"/>
    <n v="3900"/>
    <n v="4056.6"/>
    <n v="3900"/>
    <n v="3900"/>
    <n v="0"/>
    <n v="0"/>
    <n v="0"/>
    <n v="0"/>
    <n v="0"/>
    <n v="3338.08"/>
    <n v="3853.55"/>
    <n v="3933.57"/>
    <n v="3900"/>
    <n v="3810.29"/>
    <n v="4417.16"/>
    <n v="3554.93"/>
    <n v="0"/>
    <n v="0"/>
    <n v="0"/>
    <n v="0"/>
    <n v="0"/>
    <n v="3338.08"/>
    <n v="3853.55"/>
    <n v="3933.57"/>
    <n v="3900"/>
    <n v="3810.29"/>
    <n v="4417.16"/>
    <n v="3554.93"/>
    <n v="0"/>
    <n v="0"/>
    <n v="0"/>
    <n v="0"/>
    <n v="0"/>
    <x v="0"/>
    <x v="5"/>
    <x v="5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00. ATENCION BASICA DE SALUD"/>
    <s v="20. SALUD"/>
    <s v="044. SALUD INDIVIDUAL"/>
    <s v="0096. ATENCION MEDICA BASICA"/>
    <s v="00001"/>
    <s v="0000251. ATENCION BASICA"/>
    <s v="00006 - ATENCION"/>
    <n v="200000"/>
    <n v="100000"/>
    <n v="78000"/>
    <n v="78000"/>
    <x v="3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51192"/>
    <n v="-511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5"/>
    <x v="5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10. ATENCION ESPECIALIZADA DE LA SALUD"/>
    <s v="20. SALUD"/>
    <s v="044. SALUD INDIVIDUAL"/>
    <s v="0097. ATENCION MEDICA ESPECIALIZADA"/>
    <s v="00001"/>
    <s v="0023484. ATENCION MEDICA ESPECIALIZADA"/>
    <s v="00006 - ATENCION"/>
    <n v="150000"/>
    <n v="75000"/>
    <n v="26347"/>
    <n v="26347"/>
    <x v="34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472967"/>
    <n v="0"/>
    <n v="472967"/>
    <n v="52618.559999999998"/>
    <n v="52618.559999999998"/>
    <n v="7502"/>
    <n v="7502"/>
    <n v="7502"/>
    <n v="7502"/>
    <n v="7606.56"/>
    <n v="7502"/>
    <n v="7502"/>
    <n v="0"/>
    <n v="0"/>
    <n v="0"/>
    <n v="0"/>
    <n v="0"/>
    <n v="7502"/>
    <n v="7502"/>
    <n v="7502"/>
    <n v="7502"/>
    <n v="7606.56"/>
    <n v="7502"/>
    <n v="7502"/>
    <n v="0"/>
    <n v="0"/>
    <n v="0"/>
    <n v="0"/>
    <n v="0"/>
    <n v="6161.17"/>
    <n v="7476.04"/>
    <n v="7826.85"/>
    <n v="6932.71"/>
    <n v="7832.56"/>
    <n v="8168.06"/>
    <n v="6939.95"/>
    <n v="0"/>
    <n v="0"/>
    <n v="0"/>
    <n v="0"/>
    <n v="0"/>
    <n v="6161.17"/>
    <n v="7183.35"/>
    <n v="7826.85"/>
    <n v="7225.4"/>
    <n v="7832.56"/>
    <n v="8168.06"/>
    <n v="6939.95"/>
    <n v="0"/>
    <n v="0"/>
    <n v="0"/>
    <n v="0"/>
    <n v="0"/>
    <x v="0"/>
    <x v="5"/>
    <x v="5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2. ATENCION EN CONSULTAS EXTERNAS"/>
    <s v="20. SALUD"/>
    <s v="044. SALUD INDIVIDUAL"/>
    <s v="0097. ATENCION MEDICA ESPECIALIZADA"/>
    <s v="00001"/>
    <s v="0000266. ATENCION EN CONSULTAS EXTERNAS"/>
    <s v="00006 - ATENCION"/>
    <n v="150000"/>
    <n v="75000"/>
    <n v="31583"/>
    <n v="31583"/>
    <x v="35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148191"/>
    <n v="66675"/>
    <n v="214866"/>
    <n v="161229.71"/>
    <n v="161229.71"/>
    <n v="26818"/>
    <n v="26818"/>
    <n v="26818"/>
    <n v="26818"/>
    <n v="27139.71"/>
    <n v="0"/>
    <n v="26818"/>
    <n v="0"/>
    <n v="0"/>
    <n v="0"/>
    <n v="0"/>
    <n v="0"/>
    <n v="26818"/>
    <n v="26818"/>
    <n v="26818"/>
    <n v="26818"/>
    <n v="27139.71"/>
    <n v="0"/>
    <n v="26818"/>
    <n v="0"/>
    <n v="0"/>
    <n v="0"/>
    <n v="0"/>
    <n v="0"/>
    <n v="22177.48"/>
    <n v="26587.24"/>
    <n v="27462.51"/>
    <n v="25331.1"/>
    <n v="28089.82"/>
    <n v="4763.5600000000004"/>
    <n v="22716.07"/>
    <n v="0"/>
    <n v="0"/>
    <n v="0"/>
    <n v="0"/>
    <n v="0"/>
    <n v="22177.48"/>
    <n v="25967.119999999999"/>
    <n v="27462.51"/>
    <n v="25951.22"/>
    <n v="28089.82"/>
    <n v="4763.5600000000004"/>
    <n v="22716.07"/>
    <n v="0"/>
    <n v="0"/>
    <n v="0"/>
    <n v="0"/>
    <n v="0"/>
    <x v="0"/>
    <x v="5"/>
    <x v="5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952582"/>
    <n v="0"/>
    <n v="952582"/>
    <n v="497626.54"/>
    <n v="497626.54"/>
    <n v="67575"/>
    <n v="67575"/>
    <n v="78424.59"/>
    <n v="79745.47"/>
    <n v="63952.480000000003"/>
    <n v="83586"/>
    <n v="56768"/>
    <n v="0"/>
    <n v="0"/>
    <n v="0"/>
    <n v="0"/>
    <n v="0"/>
    <n v="67575"/>
    <n v="67575"/>
    <n v="78424.59"/>
    <n v="79745.47"/>
    <n v="63952.480000000003"/>
    <n v="83586"/>
    <n v="56768"/>
    <n v="0"/>
    <n v="0"/>
    <n v="0"/>
    <n v="0"/>
    <n v="0"/>
    <n v="47408.13"/>
    <n v="65969.89"/>
    <n v="78854.31"/>
    <n v="79166.81"/>
    <n v="59751.66"/>
    <n v="92574.24"/>
    <n v="51359.19"/>
    <n v="0"/>
    <n v="0"/>
    <n v="0"/>
    <n v="0"/>
    <n v="0"/>
    <n v="47408.13"/>
    <n v="65202.84"/>
    <n v="79468.53"/>
    <n v="79250.53"/>
    <n v="59703.72"/>
    <n v="92691.29"/>
    <n v="51359.19"/>
    <n v="0"/>
    <n v="0"/>
    <n v="0"/>
    <n v="0"/>
    <n v="0"/>
    <x v="0"/>
    <x v="5"/>
    <x v="5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4. INTERVENCIONES QUIRURGICAS"/>
    <s v="20. SALUD"/>
    <s v="044. SALUD INDIVIDUAL"/>
    <s v="0097. ATENCION MEDICA ESPECIALIZADA"/>
    <s v="00001"/>
    <s v="0000257. ATENCION DE INTERVENCIONES QUIRURGICAS"/>
    <s v="00006 - ATENCION"/>
    <n v="20000"/>
    <n v="10000"/>
    <n v="8000"/>
    <n v="8000"/>
    <x v="3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248198"/>
    <n v="0"/>
    <n v="248198"/>
    <n v="79207.56"/>
    <n v="79207.56"/>
    <n v="11297"/>
    <n v="11297"/>
    <n v="11297"/>
    <n v="11297"/>
    <n v="11425.56"/>
    <n v="11297"/>
    <n v="11297"/>
    <n v="0"/>
    <n v="0"/>
    <n v="0"/>
    <n v="0"/>
    <n v="0"/>
    <n v="11297"/>
    <n v="11297"/>
    <n v="11297"/>
    <n v="11297"/>
    <n v="11425.56"/>
    <n v="11297"/>
    <n v="11297"/>
    <n v="0"/>
    <n v="0"/>
    <n v="0"/>
    <n v="0"/>
    <n v="0"/>
    <n v="9678.7000000000007"/>
    <n v="11161.66"/>
    <n v="11416.52"/>
    <n v="10944.24"/>
    <n v="11202.7"/>
    <n v="12663.47"/>
    <n v="10135.83"/>
    <n v="0"/>
    <n v="0"/>
    <n v="0"/>
    <n v="0"/>
    <n v="0"/>
    <n v="9678.7000000000007"/>
    <n v="11161.66"/>
    <n v="11416.52"/>
    <n v="10944.24"/>
    <n v="11202.7"/>
    <n v="12663.47"/>
    <n v="10135.83"/>
    <n v="0"/>
    <n v="0"/>
    <n v="0"/>
    <n v="0"/>
    <n v="0"/>
    <x v="0"/>
    <x v="5"/>
    <x v="5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6. OTRAS ATENCIONES DE SALUD ESPECIALIZADAS"/>
    <s v="20. SALUD"/>
    <s v="044. SALUD INDIVIDUAL"/>
    <s v="0097. ATENCION MEDICA ESPECIALIZADA"/>
    <s v="00001"/>
    <s v="0023484. ATENCION MEDICA ESPECIALIZADA"/>
    <s v="00006 - ATENCION"/>
    <n v="25000"/>
    <n v="12500"/>
    <n v="11000"/>
    <n v="11000"/>
    <x v="3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283948"/>
    <n v="0"/>
    <n v="283948"/>
    <n v="16640.580000000002"/>
    <n v="16640.580000000002"/>
    <n v="0"/>
    <n v="0"/>
    <n v="5532"/>
    <n v="5532"/>
    <n v="5576.58"/>
    <n v="0"/>
    <n v="0"/>
    <n v="0"/>
    <n v="0"/>
    <n v="0"/>
    <n v="0"/>
    <n v="0"/>
    <n v="0"/>
    <n v="0"/>
    <n v="5532"/>
    <n v="5532"/>
    <n v="5576.58"/>
    <n v="0"/>
    <n v="0"/>
    <n v="0"/>
    <n v="0"/>
    <n v="0"/>
    <n v="0"/>
    <n v="0"/>
    <n v="0"/>
    <n v="0"/>
    <n v="4757.32"/>
    <n v="5533"/>
    <n v="5531"/>
    <n v="819.26"/>
    <n v="0"/>
    <n v="0"/>
    <n v="0"/>
    <n v="0"/>
    <n v="0"/>
    <n v="0"/>
    <n v="0"/>
    <n v="0"/>
    <n v="0"/>
    <n v="774.68"/>
    <n v="5531"/>
    <n v="819.26"/>
    <n v="0"/>
    <n v="0"/>
    <n v="0"/>
    <n v="0"/>
    <n v="0"/>
    <n v="0"/>
    <x v="0"/>
    <x v="5"/>
    <x v="5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9. COMERCIALIZACION DE MEDICAMENTOS E INSUMOS"/>
    <s v="20. SALUD"/>
    <s v="044. SALUD INDIVIDUAL"/>
    <s v="0098. SERVICIOS DE DIAGNOSTICO Y TRATAMIENTO"/>
    <s v="00001"/>
    <s v="0001468. VENTA DE MEDICINAS"/>
    <s v="00006 - ATENCION"/>
    <n v="500000"/>
    <n v="250000"/>
    <n v="225000"/>
    <n v="225000"/>
    <x v="3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223180"/>
    <n v="0"/>
    <n v="223180"/>
    <n v="125240.95"/>
    <n v="125240.95"/>
    <n v="17847"/>
    <n v="17847"/>
    <n v="17847"/>
    <n v="17847"/>
    <n v="18158.95"/>
    <n v="17847"/>
    <n v="17847"/>
    <n v="0"/>
    <n v="0"/>
    <n v="0"/>
    <n v="0"/>
    <n v="0"/>
    <n v="17847"/>
    <n v="17847"/>
    <n v="17847"/>
    <n v="17847"/>
    <n v="18158.95"/>
    <n v="17847"/>
    <n v="17847"/>
    <n v="0"/>
    <n v="0"/>
    <n v="0"/>
    <n v="0"/>
    <n v="0"/>
    <n v="13761.87"/>
    <n v="16791.78"/>
    <n v="18157.2"/>
    <n v="17812.14"/>
    <n v="17858.759999999998"/>
    <n v="20303.66"/>
    <n v="16207.86"/>
    <n v="0"/>
    <n v="0"/>
    <n v="0"/>
    <n v="0"/>
    <n v="0"/>
    <n v="13761.87"/>
    <n v="16715.39"/>
    <n v="18157.2"/>
    <n v="17888.53"/>
    <n v="17858.759999999998"/>
    <n v="20303.66"/>
    <n v="16207.86"/>
    <n v="0"/>
    <n v="0"/>
    <n v="0"/>
    <n v="0"/>
    <n v="0"/>
    <x v="0"/>
    <x v="5"/>
    <x v="5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2197. PRESTACIONES ADMINISTRATIVAS SUBSIDIADAS/NO TARIFADO"/>
    <s v="20. SALUD"/>
    <s v="044. SALUD INDIVIDUAL"/>
    <s v="0097. ATENCION MEDICA ESPECIALIZADA"/>
    <s v="00001"/>
    <s v="0002088. SEGURO INTEGRAL DE SALUD"/>
    <s v="00006 - ATENCION"/>
    <n v="50000"/>
    <n v="25000"/>
    <n v="26500"/>
    <n v="26500"/>
    <x v="4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490061"/>
    <n v="49174"/>
    <n v="539235"/>
    <n v="374609.53"/>
    <n v="374609.53"/>
    <n v="61600"/>
    <n v="61600"/>
    <n v="61600"/>
    <n v="44843"/>
    <n v="45248.53"/>
    <n v="44843"/>
    <n v="54875"/>
    <n v="0"/>
    <n v="0"/>
    <n v="0"/>
    <n v="0"/>
    <n v="0"/>
    <n v="61600"/>
    <n v="61600"/>
    <n v="61600"/>
    <n v="44843"/>
    <n v="45248.53"/>
    <n v="44843"/>
    <n v="54875"/>
    <n v="0"/>
    <n v="0"/>
    <n v="0"/>
    <n v="0"/>
    <n v="0"/>
    <n v="47412.93"/>
    <n v="61182.76"/>
    <n v="63240.9"/>
    <n v="47126.879999999997"/>
    <n v="44793.02"/>
    <n v="50141.03"/>
    <n v="50069.22"/>
    <n v="0"/>
    <n v="0"/>
    <n v="0"/>
    <n v="0"/>
    <n v="0"/>
    <n v="47412.93"/>
    <n v="60663.68"/>
    <n v="63258.02"/>
    <n v="47628.84"/>
    <n v="44793.02"/>
    <n v="50141.03"/>
    <n v="50069.22"/>
    <n v="0"/>
    <n v="0"/>
    <n v="0"/>
    <n v="0"/>
    <n v="0"/>
    <x v="0"/>
    <x v="5"/>
    <x v="5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2. ATENCION DE LA EMERGENCIA Y URGENCIA BASICA"/>
    <s v="20. SALUD"/>
    <s v="044. SALUD INDIVIDUAL"/>
    <s v="0096. ATENCION MEDICA BASICA"/>
    <s v="00001"/>
    <s v="0188298. ATENCION DE LA EMERGENCIA Y URGENCIA BASICA"/>
    <s v="00006 - ATENCION"/>
    <n v="100"/>
    <n v="50"/>
    <n v="1"/>
    <n v="1"/>
    <x v="41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5"/>
    <x v="5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853. GESTION, SUPERVISION Y MONITOREO DEL FINANCIAMIENTO Y DE LA CALIDAD DE PRESTACION"/>
    <s v="20. SALUD"/>
    <s v="043. SALUD COLECTIVA"/>
    <s v="0093. REGULACION Y CONTROL SANITARIO"/>
    <s v="00001"/>
    <s v="0000009. ACCIONES ADMINISTRATIVAS"/>
    <s v="00001 - ACCION"/>
    <n v="1"/>
    <n v="1"/>
    <n v="1"/>
    <n v="1"/>
    <x v="4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1. PERSONAL NOMBRADO"/>
    <s v="0 . RECURSOS ORDINARIO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5"/>
    <x v="5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877."/>
    <s v="5.ACTIVIDAD"/>
    <s v="5000029. ATENDER A NIÑOS CON DIAGNOSTICO DE INFECCIONES RESPIRATORIAS AGUDAS CON COMPLICACIONES"/>
    <s v="20. SALUD"/>
    <s v="044. SALUD INDIVIDUAL"/>
    <s v="0097. ATENCION MEDICA ESPECIALIZADA"/>
    <s v="00001"/>
    <s v="0033313. ATENCION IRA CON COMPLICACIONES"/>
    <s v="00016 - CASO TRATADO"/>
    <n v="221"/>
    <n v="110"/>
    <n v="108"/>
    <n v="108"/>
    <x v="4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2. PERSONAL CONTRATADO"/>
    <s v="0 . RECURSOS ORDINARIO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6"/>
    <x v="6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315."/>
    <s v="5.ACTIVIDAD"/>
    <s v="5000031. BRINDAR ATENCION A OTRAS ENFERMEDADES PREVALENTES"/>
    <s v="20. SALUD"/>
    <s v="044. SALUD INDIVIDUAL"/>
    <s v="0096. ATENCION MEDICA BASICA"/>
    <s v="00001"/>
    <s v="0033315. ATENCION DE OTRAS ENFERMEDADES PREVALENTES"/>
    <s v="00016 - CASO TRATADO"/>
    <n v="440"/>
    <n v="220"/>
    <n v="198"/>
    <n v="198"/>
    <x v="6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2. PERSONAL CONTRATADO"/>
    <s v="0 . RECURSOS ORDINARIOS"/>
    <n v="0"/>
    <n v="22736"/>
    <n v="22736"/>
    <n v="11064"/>
    <n v="11064"/>
    <n v="0"/>
    <n v="0"/>
    <n v="0"/>
    <n v="0"/>
    <n v="5532"/>
    <n v="0"/>
    <n v="5532"/>
    <n v="0"/>
    <n v="0"/>
    <n v="0"/>
    <n v="0"/>
    <n v="0"/>
    <n v="0"/>
    <n v="0"/>
    <n v="0"/>
    <n v="0"/>
    <n v="5532"/>
    <n v="0"/>
    <n v="5532"/>
    <n v="0"/>
    <n v="0"/>
    <n v="0"/>
    <n v="0"/>
    <n v="0"/>
    <n v="0"/>
    <n v="0"/>
    <n v="0"/>
    <n v="0"/>
    <n v="4908.99"/>
    <n v="578.41999999999996"/>
    <n v="4906.1499999999996"/>
    <n v="0"/>
    <n v="0"/>
    <n v="0"/>
    <n v="0"/>
    <n v="0"/>
    <n v="0"/>
    <n v="0"/>
    <n v="0"/>
    <n v="0"/>
    <n v="4908.99"/>
    <n v="578.41999999999996"/>
    <n v="4906.1499999999996"/>
    <n v="0"/>
    <n v="0"/>
    <n v="0"/>
    <n v="0"/>
    <n v="0"/>
    <x v="0"/>
    <x v="6"/>
    <x v="6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00001."/>
    <s v="5.ACTIVIDAD"/>
    <s v="5004389. DESARROLLO DE NORMAS Y GUIAS TECNICAS EN SALUD MATERNO NEONATAL"/>
    <s v="20. SALUD"/>
    <s v="043. SALUD COLECTIVA"/>
    <s v="0093. REGULACION Y CONTROL SANITARIO"/>
    <s v="00001"/>
    <s v="0033287. DESARROLLO DE NORMAS Y GUIAS TECNICAS EN SALUD MATERNO NEONATAL"/>
    <s v="00080 - NORMA"/>
    <n v="2"/>
    <n v="1"/>
    <n v="0"/>
    <n v="0"/>
    <x v="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2. PERSONAL CONTRATADO"/>
    <s v="0 . RECURSOS ORDINARIOS"/>
    <n v="30096"/>
    <n v="-24564"/>
    <n v="5532"/>
    <n v="5532"/>
    <n v="5532"/>
    <n v="0"/>
    <n v="0"/>
    <n v="0"/>
    <n v="0"/>
    <n v="0"/>
    <n v="5532"/>
    <n v="0"/>
    <n v="0"/>
    <n v="0"/>
    <n v="0"/>
    <n v="0"/>
    <n v="0"/>
    <n v="0"/>
    <n v="0"/>
    <n v="0"/>
    <n v="0"/>
    <n v="0"/>
    <n v="5532"/>
    <n v="0"/>
    <n v="0"/>
    <n v="0"/>
    <n v="0"/>
    <n v="0"/>
    <n v="0"/>
    <n v="0"/>
    <n v="0"/>
    <n v="0"/>
    <n v="0"/>
    <n v="0"/>
    <n v="5101.58"/>
    <n v="430.42"/>
    <n v="0"/>
    <n v="0"/>
    <n v="0"/>
    <n v="0"/>
    <n v="0"/>
    <n v="0"/>
    <n v="0"/>
    <n v="0"/>
    <n v="0"/>
    <n v="0"/>
    <n v="5101.58"/>
    <n v="430.42"/>
    <n v="0"/>
    <n v="0"/>
    <n v="0"/>
    <n v="0"/>
    <n v="0"/>
    <x v="0"/>
    <x v="6"/>
    <x v="6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172."/>
    <s v="5.ACTIVIDAD"/>
    <s v="5000037. BRINDAR ATENCION PRENATAL REENFOCADA"/>
    <s v="20. SALUD"/>
    <s v="044. SALUD INDIVIDUAL"/>
    <s v="0096. ATENCION MEDICA BASICA"/>
    <s v="00001"/>
    <s v="0033172. ATENCION PRENATAL REENFOCADA"/>
    <s v="00058 - GESTANTE CONTROLADA"/>
    <n v="3140"/>
    <n v="1570"/>
    <n v="1605"/>
    <n v="1605"/>
    <x v="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2. PERSONAL CONTRATADO"/>
    <s v="0 . RECURSOS ORDINARIOS"/>
    <n v="11036"/>
    <n v="-7692"/>
    <n v="3344"/>
    <n v="3344"/>
    <n v="3344"/>
    <n v="0"/>
    <n v="0"/>
    <n v="0"/>
    <n v="0"/>
    <n v="0"/>
    <n v="3344"/>
    <n v="0"/>
    <n v="0"/>
    <n v="0"/>
    <n v="0"/>
    <n v="0"/>
    <n v="0"/>
    <n v="0"/>
    <n v="0"/>
    <n v="0"/>
    <n v="0"/>
    <n v="0"/>
    <n v="3344"/>
    <n v="0"/>
    <n v="0"/>
    <n v="0"/>
    <n v="0"/>
    <n v="0"/>
    <n v="0"/>
    <n v="0"/>
    <n v="0"/>
    <n v="0"/>
    <n v="0"/>
    <n v="0"/>
    <n v="3083.82"/>
    <n v="260.18"/>
    <n v="0"/>
    <n v="0"/>
    <n v="0"/>
    <n v="0"/>
    <n v="0"/>
    <n v="0"/>
    <n v="0"/>
    <n v="0"/>
    <n v="0"/>
    <n v="0"/>
    <n v="3083.82"/>
    <n v="260.18"/>
    <n v="0"/>
    <n v="0"/>
    <n v="0"/>
    <n v="0"/>
    <n v="0"/>
    <x v="0"/>
    <x v="6"/>
    <x v="6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1."/>
    <s v="5.ACTIVIDAD"/>
    <s v="5000042. MEJORAMIENTO DEL ACCESO DE LA POBLACION A METODOS DE PLANIFICACION FAMILIAR"/>
    <s v="20. SALUD"/>
    <s v="044. SALUD INDIVIDUAL"/>
    <s v="0096. ATENCION MEDICA BASICA"/>
    <s v="00001"/>
    <s v="0033291. POBLACION ACCEDE A METODOS DE PLANIFICACION FAMILIAR"/>
    <s v="00206 - PAREJA PROTEGIDA"/>
    <n v="2838"/>
    <n v="1419"/>
    <n v="909"/>
    <n v="909"/>
    <x v="44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2. PERSONAL CONTRATADO"/>
    <s v="0 . RECURSOS ORDINARIOS"/>
    <n v="36784"/>
    <n v="0"/>
    <n v="367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6"/>
    <x v="6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6."/>
    <s v="5.ACTIVIDAD"/>
    <s v="5000046. BRINDAR ATENCION DEL PARTO COMPLICADO NO QUIRURGICO"/>
    <s v="20. SALUD"/>
    <s v="044. SALUD INDIVIDUAL"/>
    <s v="0097. ATENCION MEDICA ESPECIALIZADA"/>
    <s v="00001"/>
    <s v="0033296. ATENCION DEL PARTO COMPLICADO NO QUIRURGICO"/>
    <s v="00209 - PARTO COMPLICADO"/>
    <n v="1420"/>
    <n v="710"/>
    <n v="443"/>
    <n v="443"/>
    <x v="1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2. PERSONAL CONTRATADO"/>
    <s v="0 . RECURSOS ORDINARIOS"/>
    <n v="3344"/>
    <n v="0"/>
    <n v="33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6"/>
    <x v="6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7."/>
    <s v="5.ACTIVIDAD"/>
    <s v="5000047. BRINDAR ATENCION DEL PARTO COMPLICADO QUIRURGICO"/>
    <s v="20. SALUD"/>
    <s v="044. SALUD INDIVIDUAL"/>
    <s v="0097. ATENCION MEDICA ESPECIALIZADA"/>
    <s v="00001"/>
    <s v="0033297. ATENCION DEL PARTO COMPLICADO QUIRURGICO"/>
    <s v="00210 - CESAREA"/>
    <n v="1550"/>
    <n v="775"/>
    <n v="747"/>
    <n v="747"/>
    <x v="1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2. PERSONAL CONTRATADO"/>
    <s v="0 . RECURSOS ORDINARIOS"/>
    <n v="85416"/>
    <n v="1404"/>
    <n v="86820"/>
    <n v="76788"/>
    <n v="76788"/>
    <n v="0"/>
    <n v="47848"/>
    <n v="25596"/>
    <n v="0"/>
    <n v="0"/>
    <n v="0"/>
    <n v="3344"/>
    <n v="0"/>
    <n v="0"/>
    <n v="0"/>
    <n v="0"/>
    <n v="0"/>
    <n v="0"/>
    <n v="47848"/>
    <n v="25596"/>
    <n v="0"/>
    <n v="0"/>
    <n v="0"/>
    <n v="3344"/>
    <n v="0"/>
    <n v="0"/>
    <n v="0"/>
    <n v="0"/>
    <n v="0"/>
    <n v="0"/>
    <n v="11994.35"/>
    <n v="58555.98"/>
    <n v="2893.67"/>
    <n v="0"/>
    <n v="0"/>
    <n v="3083.82"/>
    <n v="0"/>
    <n v="0"/>
    <n v="0"/>
    <n v="0"/>
    <n v="0"/>
    <n v="0"/>
    <n v="11994.35"/>
    <n v="47800.24"/>
    <n v="2893.67"/>
    <n v="0"/>
    <n v="3029.73"/>
    <n v="3083.82"/>
    <n v="0"/>
    <n v="0"/>
    <n v="0"/>
    <n v="0"/>
    <n v="0"/>
    <x v="0"/>
    <x v="6"/>
    <x v="6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8."/>
    <s v="5.ACTIVIDAD"/>
    <s v="5000048. ATENDER EL PUERPERIO"/>
    <s v="20. SALUD"/>
    <s v="044. SALUD INDIVIDUAL"/>
    <s v="0096. ATENCION MEDICA BASICA"/>
    <s v="00001"/>
    <s v="0033298. ATENCION DEL PUERPERIO"/>
    <s v="00628 - DELITO ATENDIDO"/>
    <n v="150"/>
    <n v="75"/>
    <n v="15"/>
    <n v="15"/>
    <x v="14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2. PERSONAL CONTRATADO"/>
    <s v="0 . RECURSOS ORDINARIOS"/>
    <n v="36784"/>
    <n v="0"/>
    <n v="36784"/>
    <n v="21096"/>
    <n v="21096"/>
    <n v="0"/>
    <n v="6688"/>
    <n v="3344"/>
    <n v="0"/>
    <n v="11064"/>
    <n v="0"/>
    <n v="0"/>
    <n v="0"/>
    <n v="0"/>
    <n v="0"/>
    <n v="0"/>
    <n v="0"/>
    <n v="0"/>
    <n v="6688"/>
    <n v="3344"/>
    <n v="0"/>
    <n v="11064"/>
    <n v="0"/>
    <n v="0"/>
    <n v="0"/>
    <n v="0"/>
    <n v="0"/>
    <n v="0"/>
    <n v="0"/>
    <n v="0"/>
    <n v="0"/>
    <n v="9697.82"/>
    <n v="334.18"/>
    <n v="0"/>
    <n v="7301.62"/>
    <n v="0"/>
    <n v="0"/>
    <n v="0"/>
    <n v="0"/>
    <n v="0"/>
    <n v="0"/>
    <n v="0"/>
    <n v="0"/>
    <n v="9697.82"/>
    <n v="334.18"/>
    <n v="0"/>
    <n v="7301.62"/>
    <n v="0"/>
    <n v="0"/>
    <n v="0"/>
    <n v="0"/>
    <n v="0"/>
    <n v="0"/>
    <x v="0"/>
    <x v="6"/>
    <x v="6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9."/>
    <s v="5.ACTIVIDAD"/>
    <s v="5000049. ATENDER EL PUERPERIO CON COMPLICACIONES"/>
    <s v="20. SALUD"/>
    <s v="044. SALUD INDIVIDUAL"/>
    <s v="0097. ATENCION MEDICA ESPECIALIZADA"/>
    <s v="00001"/>
    <s v="0033299. ATENCION DEL PUERPERIO CON COMPLICACIONES"/>
    <s v="00016 - CASO TRATADO"/>
    <n v="240"/>
    <n v="120"/>
    <n v="94"/>
    <n v="94"/>
    <x v="15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2. PERSONAL CONTRATADO"/>
    <s v="0 . RECURSOS ORDINARIOS"/>
    <n v="30096"/>
    <n v="0"/>
    <n v="30096"/>
    <n v="3344"/>
    <n v="3344"/>
    <n v="3344"/>
    <n v="0"/>
    <n v="0"/>
    <n v="0"/>
    <n v="0"/>
    <n v="0"/>
    <n v="0"/>
    <n v="0"/>
    <n v="0"/>
    <n v="0"/>
    <n v="0"/>
    <n v="0"/>
    <n v="3344"/>
    <n v="0"/>
    <n v="0"/>
    <n v="0"/>
    <n v="0"/>
    <n v="0"/>
    <n v="0"/>
    <n v="0"/>
    <n v="0"/>
    <n v="0"/>
    <n v="0"/>
    <n v="0"/>
    <n v="0"/>
    <n v="3344"/>
    <n v="0"/>
    <n v="0"/>
    <n v="0"/>
    <n v="0"/>
    <n v="0"/>
    <n v="0"/>
    <n v="0"/>
    <n v="0"/>
    <n v="0"/>
    <n v="0"/>
    <n v="0"/>
    <n v="3344"/>
    <n v="0"/>
    <n v="0"/>
    <n v="0"/>
    <n v="0"/>
    <n v="0"/>
    <n v="0"/>
    <n v="0"/>
    <n v="0"/>
    <n v="0"/>
    <n v="0"/>
    <x v="0"/>
    <x v="6"/>
    <x v="6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0."/>
    <s v="5.ACTIVIDAD"/>
    <s v="5000050. ATENDER COMPLICACIONES OBSTETRICAS EN UNIDAD DE CUIDADOS INTENSIVOS"/>
    <s v="20. SALUD"/>
    <s v="044. SALUD INDIVIDUAL"/>
    <s v="0097. ATENCION MEDICA ESPECIALIZADA"/>
    <s v="00001"/>
    <s v="0033300. ATENCION OBSTETRICA EN UNIDAD DE CUIDADOS INTENSIVOS"/>
    <s v="00016 - CASO TRATADO"/>
    <n v="68"/>
    <n v="34"/>
    <n v="16"/>
    <n v="16"/>
    <x v="16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2. PERSONAL CONTRATADO"/>
    <s v="0 . RECURSOS ORDINARIOS"/>
    <n v="30096"/>
    <n v="3344"/>
    <n v="33440"/>
    <n v="23408"/>
    <n v="23408"/>
    <n v="3344"/>
    <n v="3344"/>
    <n v="3344"/>
    <n v="3344"/>
    <n v="3344"/>
    <n v="3344"/>
    <n v="3344"/>
    <n v="0"/>
    <n v="0"/>
    <n v="0"/>
    <n v="0"/>
    <n v="0"/>
    <n v="3344"/>
    <n v="3344"/>
    <n v="3344"/>
    <n v="3344"/>
    <n v="3344"/>
    <n v="3344"/>
    <n v="3344"/>
    <n v="0"/>
    <n v="0"/>
    <n v="0"/>
    <n v="0"/>
    <n v="0"/>
    <n v="1969.2"/>
    <n v="3402.32"/>
    <n v="3451.03"/>
    <n v="3150.18"/>
    <n v="3562.12"/>
    <n v="3656.3"/>
    <n v="3433.99"/>
    <n v="0"/>
    <n v="0"/>
    <n v="0"/>
    <n v="0"/>
    <n v="0"/>
    <n v="1969.2"/>
    <n v="3309.7"/>
    <n v="3451.03"/>
    <n v="3242.8"/>
    <n v="3562.12"/>
    <n v="3656.3"/>
    <n v="3433.99"/>
    <n v="0"/>
    <n v="0"/>
    <n v="0"/>
    <n v="0"/>
    <n v="0"/>
    <x v="0"/>
    <x v="6"/>
    <x v="6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4."/>
    <s v="5.ACTIVIDAD"/>
    <s v="5000052. MEJORAMIENTO DEL ACCESO AL SISTEMA DE REFERENCIA INSTITUCIONAL"/>
    <s v="20. SALUD"/>
    <s v="044. SALUD INDIVIDUAL"/>
    <s v="0096. ATENCION MEDICA BASICA"/>
    <s v="00001"/>
    <s v="0033304. ACCESO AL SISTEMA DE REFERENCIA INSTITUCIONAL"/>
    <s v="00214 - GESTANTE Y/O NEONATO REFERIDO"/>
    <n v="14"/>
    <n v="7"/>
    <n v="8"/>
    <n v="8"/>
    <x v="45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2. PERSONAL CONTRATADO"/>
    <s v="0 . RECURSOS ORDINARIO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6"/>
    <x v="6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5."/>
    <s v="5.ACTIVIDAD"/>
    <s v="5000053. ATENDER AL RECIEN NACIDO NORMAL"/>
    <s v="20. SALUD"/>
    <s v="044. SALUD INDIVIDUAL"/>
    <s v="0096. ATENCION MEDICA BASICA"/>
    <s v="00001"/>
    <s v="0033305. ATENCION DEL RECIEN NACIDO NORMAL"/>
    <s v="00239 - RECIEN NACIDO ATENDIDO"/>
    <n v="7546"/>
    <n v="3773"/>
    <n v="2820"/>
    <n v="2820"/>
    <x v="1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2. PERSONAL CONTRATADO"/>
    <s v="0 . RECURSOS ORDINARIOS"/>
    <n v="33440"/>
    <n v="-21682"/>
    <n v="11758"/>
    <n v="11757.94"/>
    <n v="11757.94"/>
    <n v="0"/>
    <n v="3344"/>
    <n v="3344"/>
    <n v="3344"/>
    <n v="1725.94"/>
    <n v="0"/>
    <n v="0"/>
    <n v="0"/>
    <n v="0"/>
    <n v="0"/>
    <n v="0"/>
    <n v="0"/>
    <n v="0"/>
    <n v="3344"/>
    <n v="3344"/>
    <n v="3344"/>
    <n v="1725.94"/>
    <n v="0"/>
    <n v="0"/>
    <n v="0"/>
    <n v="0"/>
    <n v="0"/>
    <n v="0"/>
    <n v="0"/>
    <n v="0"/>
    <n v="0"/>
    <n v="6273.1"/>
    <n v="3409.33"/>
    <n v="349.57"/>
    <n v="1725.94"/>
    <n v="0"/>
    <n v="0"/>
    <n v="0"/>
    <n v="0"/>
    <n v="0"/>
    <n v="0"/>
    <n v="0"/>
    <n v="0"/>
    <n v="6273.1"/>
    <n v="3409.33"/>
    <n v="349.57"/>
    <n v="164.97"/>
    <n v="0"/>
    <n v="0"/>
    <n v="0"/>
    <n v="0"/>
    <n v="0"/>
    <n v="0"/>
    <x v="0"/>
    <x v="6"/>
    <x v="6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6."/>
    <s v="5.ACTIVIDAD"/>
    <s v="5000054. ATENDER AL RECIEN NACIDO CON COMPLICACIONES"/>
    <s v="20. SALUD"/>
    <s v="044. SALUD INDIVIDUAL"/>
    <s v="0097. ATENCION MEDICA ESPECIALIZADA"/>
    <s v="00001"/>
    <s v="0033306. ATENCION DEL RECIEN NACIDO CON COMPLICACIONES"/>
    <s v="00016 - CASO TRATADO"/>
    <n v="2469"/>
    <n v="1234"/>
    <n v="728"/>
    <n v="728"/>
    <x v="1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2. PERSONAL CONTRATADO"/>
    <s v="0 . RECURSOS ORDINARIOS"/>
    <n v="30598"/>
    <n v="0"/>
    <n v="305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6"/>
    <x v="6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7."/>
    <s v="5.ACTIVIDAD"/>
    <s v="5000055. ATENDER AL RECIEN NACIDO CON COMPLICACIONES QUE REQUIERE UNIDAD DE CUIDADOS INTENSIVOS NEONATALES - UCIN"/>
    <s v="20. SALUD"/>
    <s v="044. SALUD INDIVIDUAL"/>
    <s v="0097. ATENCION MEDICA ESPECIALIZADA"/>
    <s v="00001"/>
    <s v="0033307. ATENCION DEL RECIEN NACIDO CON COMPLICACIONES QUE REQUIERE UNIDAD DE CUIDADOS INTENSIVOS NEONATALES - UCIN"/>
    <s v="00016 - CASO TRATADO"/>
    <n v="1148"/>
    <n v="574"/>
    <n v="436"/>
    <n v="436"/>
    <x v="1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2. PERSONAL CONTRATADO"/>
    <s v="0 . RECURSOS ORDINARIOS"/>
    <n v="60192"/>
    <n v="0"/>
    <n v="60192"/>
    <n v="46816"/>
    <n v="46816"/>
    <n v="6688"/>
    <n v="6688"/>
    <n v="6688"/>
    <n v="6688"/>
    <n v="6688"/>
    <n v="6688"/>
    <n v="6688"/>
    <n v="0"/>
    <n v="0"/>
    <n v="0"/>
    <n v="0"/>
    <n v="0"/>
    <n v="6688"/>
    <n v="6688"/>
    <n v="6688"/>
    <n v="6688"/>
    <n v="6688"/>
    <n v="6688"/>
    <n v="6688"/>
    <n v="0"/>
    <n v="0"/>
    <n v="0"/>
    <n v="0"/>
    <n v="0"/>
    <n v="5797.2"/>
    <n v="6671.07"/>
    <n v="6779.81"/>
    <n v="6685.71"/>
    <n v="6628.81"/>
    <n v="7063.8"/>
    <n v="6362.99"/>
    <n v="0"/>
    <n v="0"/>
    <n v="0"/>
    <n v="0"/>
    <n v="0"/>
    <n v="5797.2"/>
    <n v="6671.07"/>
    <n v="6779.81"/>
    <n v="6685.71"/>
    <n v="6628.81"/>
    <n v="7063.8"/>
    <n v="6362.99"/>
    <n v="0"/>
    <n v="0"/>
    <n v="0"/>
    <n v="0"/>
    <n v="0"/>
    <x v="0"/>
    <x v="6"/>
    <x v="6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14."/>
    <s v="5.ACTIVIDAD"/>
    <s v="5004438. DIAGNOSTICO DE CASOS DE TUBERCULOSIS"/>
    <s v="20. SALUD"/>
    <s v="044. SALUD INDIVIDUAL"/>
    <s v="0096. ATENCION MEDICA BASICA"/>
    <s v="00001"/>
    <s v="0043964. DIAGNOSTICO DE CASOS DE TUBERCULOSIS"/>
    <s v="00393 - TASA"/>
    <n v="140"/>
    <n v="70"/>
    <n v="48"/>
    <n v="48"/>
    <x v="2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2. PERSONAL CONTRATADO"/>
    <s v="0 . RECURSOS ORDINARIOS"/>
    <n v="49788"/>
    <n v="0"/>
    <n v="497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6"/>
    <x v="6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1"/>
    <s v=" ."/>
    <s v="3043983."/>
    <s v="5.ACTIVIDAD"/>
    <s v="5000093. EVALUACION, DIAGNOSTICO Y TRATAMIENTO DE ENFERMEDADES METAXENICAS"/>
    <s v="20. SALUD"/>
    <s v="044. SALUD INDIVIDUAL"/>
    <s v="0096. ATENCION MEDICA BASICA"/>
    <s v="00001"/>
    <s v="0043983. DIAGNOSTICO Y TRATAMIENTO DE ENFERMEDADES METAXENICAS"/>
    <s v="00394 - TECNICO"/>
    <n v="1379"/>
    <n v="689"/>
    <n v="198"/>
    <n v="198"/>
    <x v="46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2. PERSONAL CONTRATADO"/>
    <s v="0 . RECURSOS ORDINARIO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6"/>
    <x v="6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2."/>
    <s v="5.ACTIVIDAD"/>
    <s v="5000110. BRINDAR TRATAMIENTO A PACIENTES CON DIAGNOSTICO DE CATARATAS"/>
    <s v="20. SALUD"/>
    <s v="044. SALUD INDIVIDUAL"/>
    <s v="0097. ATENCION MEDICA ESPECIALIZADA"/>
    <s v="00001"/>
    <s v="0135994. BRINDAR TRATAMIENTO A PACIENTES CON DIAGNOSTICO DE CATARATAS"/>
    <s v="00394 - TECNICO"/>
    <n v="648"/>
    <n v="324"/>
    <n v="141"/>
    <n v="141"/>
    <x v="2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2. PERSONAL CONTRATADO"/>
    <s v="0 . RECURSOS ORDINARIOS"/>
    <n v="30096"/>
    <n v="-1666"/>
    <n v="284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6"/>
    <x v="6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2824. ATENCION AMBULATORIA DE URGENCIAS (PRIORIDAD III O IV) EN MODULOS HOSPITALARIOS DIFERENCIADOS AUTORIZADOS"/>
    <s v="20. SALUD"/>
    <s v="044. SALUD INDIVIDUAL"/>
    <s v="0096. ATENCION MEDICA BASICA"/>
    <s v="00001"/>
    <s v="0076144. ATENCION AMBULATORIA DE URGENCIAS (PRIORIDAD III O IV) EN MODULOS HOSPITALARIOS DIFERENCIADOS AUTORIZADOS"/>
    <s v="00006 - ATENCION"/>
    <n v="2000"/>
    <n v="1000"/>
    <n v="1994"/>
    <n v="1994"/>
    <x v="2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2. PERSONAL CONTRATADO"/>
    <s v="0 . RECURSOS ORDINARIOS"/>
    <n v="30096"/>
    <n v="-29594"/>
    <n v="502"/>
    <n v="501.41"/>
    <n v="501.41"/>
    <n v="0"/>
    <n v="0"/>
    <n v="0"/>
    <n v="0"/>
    <n v="501.41"/>
    <n v="0"/>
    <n v="0"/>
    <n v="0"/>
    <n v="0"/>
    <n v="0"/>
    <n v="0"/>
    <n v="0"/>
    <n v="0"/>
    <n v="0"/>
    <n v="0"/>
    <n v="0"/>
    <n v="501.41"/>
    <n v="0"/>
    <n v="0"/>
    <n v="0"/>
    <n v="0"/>
    <n v="0"/>
    <n v="0"/>
    <n v="0"/>
    <n v="0"/>
    <n v="0"/>
    <n v="0"/>
    <n v="0"/>
    <n v="501.41"/>
    <n v="0"/>
    <n v="0"/>
    <n v="0"/>
    <n v="0"/>
    <n v="0"/>
    <n v="0"/>
    <n v="0"/>
    <n v="0"/>
    <n v="0"/>
    <n v="0"/>
    <n v="0"/>
    <n v="501.41"/>
    <n v="0"/>
    <n v="0"/>
    <n v="0"/>
    <n v="0"/>
    <n v="0"/>
    <n v="0"/>
    <n v="0"/>
    <x v="0"/>
    <x v="6"/>
    <x v="6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3. ATENCION DE LA EMERGENCIA Y URGENCIA ESPECIALIZADA"/>
    <s v="20. SALUD"/>
    <s v="044. SALUD INDIVIDUAL"/>
    <s v="0097. ATENCION MEDICA ESPECIALIZADA"/>
    <s v="00001"/>
    <s v="0188299. ATENCION DE LA EMERGENCIA Y URGENCIA ESPECIALIZADA"/>
    <s v="00006 - ATENCION"/>
    <n v="25000"/>
    <n v="12500"/>
    <n v="7470"/>
    <n v="7470"/>
    <x v="2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2. PERSONAL CONTRATADO"/>
    <s v="0 . RECURSOS ORDINARIOS"/>
    <n v="267633"/>
    <n v="3195"/>
    <n v="270828"/>
    <n v="179500.54"/>
    <n v="179500.54"/>
    <n v="16665"/>
    <n v="21179"/>
    <n v="22266"/>
    <n v="24454"/>
    <n v="24817.79"/>
    <n v="24454"/>
    <n v="45664.75"/>
    <n v="0"/>
    <n v="0"/>
    <n v="0"/>
    <n v="0"/>
    <n v="0"/>
    <n v="16665"/>
    <n v="21179"/>
    <n v="22266"/>
    <n v="24454"/>
    <n v="24817.79"/>
    <n v="24454"/>
    <n v="45664.75"/>
    <n v="0"/>
    <n v="0"/>
    <n v="0"/>
    <n v="0"/>
    <n v="0"/>
    <n v="9614.52"/>
    <n v="20743.36"/>
    <n v="24013.9"/>
    <n v="24944.74"/>
    <n v="20396.060000000001"/>
    <n v="32219.61"/>
    <n v="41131.47"/>
    <n v="0"/>
    <n v="0"/>
    <n v="0"/>
    <n v="0"/>
    <n v="0"/>
    <n v="9614.52"/>
    <n v="20720.88"/>
    <n v="24013.9"/>
    <n v="24967.22"/>
    <n v="20396.060000000001"/>
    <n v="32219.61"/>
    <n v="15155.51"/>
    <n v="0"/>
    <n v="0"/>
    <n v="0"/>
    <n v="0"/>
    <n v="0"/>
    <x v="0"/>
    <x v="6"/>
    <x v="6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4. ATENCION DE LA EMERGENCIA DE CUIDADOS INTENSIVOS"/>
    <s v="20. SALUD"/>
    <s v="044. SALUD INDIVIDUAL"/>
    <s v="0097. ATENCION MEDICA ESPECIALIZADA"/>
    <s v="00001"/>
    <s v="0188300. ATENCION DE LA EMERGENCIA DE CUIDADOS INTENSIVOS"/>
    <s v="00006 - ATENCION"/>
    <n v="400"/>
    <n v="200"/>
    <n v="128"/>
    <n v="128"/>
    <x v="2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2. PERSONAL CONTRATADO"/>
    <s v="0 . RECURSOS ORDINARIOS"/>
    <n v="96804"/>
    <n v="-18000"/>
    <n v="78804"/>
    <n v="58408.54"/>
    <n v="58408.54"/>
    <n v="3344"/>
    <n v="14713.6"/>
    <n v="10032"/>
    <n v="6910.94"/>
    <n v="10032"/>
    <n v="6688"/>
    <n v="6688"/>
    <n v="0"/>
    <n v="0"/>
    <n v="0"/>
    <n v="0"/>
    <n v="0"/>
    <n v="3344"/>
    <n v="14713.6"/>
    <n v="10032"/>
    <n v="6910.94"/>
    <n v="10032"/>
    <n v="6688"/>
    <n v="6688"/>
    <n v="0"/>
    <n v="0"/>
    <n v="0"/>
    <n v="0"/>
    <n v="0"/>
    <n v="2898.01"/>
    <n v="3351.63"/>
    <n v="20605.669999999998"/>
    <n v="7280.49"/>
    <n v="6678.9"/>
    <n v="10413.91"/>
    <n v="6317.65"/>
    <n v="0"/>
    <n v="0"/>
    <n v="0"/>
    <n v="0"/>
    <n v="0"/>
    <n v="2898.01"/>
    <n v="3351.63"/>
    <n v="17671.310000000001"/>
    <n v="7076.39"/>
    <n v="6678.9"/>
    <n v="7404.48"/>
    <n v="3387.59"/>
    <n v="0"/>
    <n v="0"/>
    <n v="0"/>
    <n v="0"/>
    <n v="0"/>
    <x v="0"/>
    <x v="6"/>
    <x v="6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5. ATENCION DE LA EMERGENCIA QUIRURGICA"/>
    <s v="20. SALUD"/>
    <s v="044. SALUD INDIVIDUAL"/>
    <s v="0097. ATENCION MEDICA ESPECIALIZADA"/>
    <s v="00001"/>
    <s v="0188301. ATENCION DE LA EMERGENCIA QUIRURGICA"/>
    <s v="00006 - ATENCION"/>
    <n v="3000"/>
    <n v="1500"/>
    <n v="1405"/>
    <n v="1405"/>
    <x v="3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2. PERSONAL CONTRATADO"/>
    <s v="0 . RECURSOS ORDINARIOS"/>
    <n v="156673"/>
    <n v="0"/>
    <n v="156673"/>
    <n v="96784"/>
    <n v="96784"/>
    <n v="11133"/>
    <n v="11133"/>
    <n v="11133"/>
    <n v="11133"/>
    <n v="11133"/>
    <n v="11133"/>
    <n v="29986"/>
    <n v="0"/>
    <n v="0"/>
    <n v="0"/>
    <n v="0"/>
    <n v="0"/>
    <n v="11133"/>
    <n v="11133"/>
    <n v="11133"/>
    <n v="11133"/>
    <n v="11133"/>
    <n v="11133"/>
    <n v="29986"/>
    <n v="0"/>
    <n v="0"/>
    <n v="0"/>
    <n v="0"/>
    <n v="0"/>
    <n v="8393.0499999999993"/>
    <n v="11201.57"/>
    <n v="11420.43"/>
    <n v="11503.74"/>
    <n v="10358.11"/>
    <n v="12676.55"/>
    <n v="26529.31"/>
    <n v="0"/>
    <n v="0"/>
    <n v="0"/>
    <n v="0"/>
    <n v="0"/>
    <n v="8393.0499999999993"/>
    <n v="11119.59"/>
    <n v="11420.43"/>
    <n v="11585.72"/>
    <n v="10358.11"/>
    <n v="12676.55"/>
    <n v="24463.03"/>
    <n v="0"/>
    <n v="0"/>
    <n v="0"/>
    <n v="0"/>
    <n v="0"/>
    <x v="0"/>
    <x v="6"/>
    <x v="6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0"/>
    <s v=" ."/>
    <s v="3000688."/>
    <s v="5.ACTIVIDAD"/>
    <s v="5004449. CAPACITACION EN MEDICINA DE REHABILITACION"/>
    <s v="20. SALUD"/>
    <s v="044. SALUD INDIVIDUAL"/>
    <s v="0097. ATENCION MEDICA ESPECIALIZADA"/>
    <s v="00001"/>
    <s v="0136018. CAPACITACION EN MEDICINA DE REHABILITACION"/>
    <s v="00088 - PERSONA CAPACITADA"/>
    <n v="60"/>
    <n v="30"/>
    <n v="0"/>
    <n v="0"/>
    <x v="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2. PERSONAL CONTRATADO"/>
    <s v="0 . RECURSOS ORDINARIOS"/>
    <n v="20313"/>
    <n v="0"/>
    <n v="203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6"/>
    <x v="6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5. GESTION DE RECURSOS HUMANOS"/>
    <s v="20. SALUD"/>
    <s v="006. GESTION"/>
    <s v="0011. PREPARACION Y PERFECCIONAMIENTO DE RECURSOS HUMANOS"/>
    <s v="00001"/>
    <s v="0053571. GESTION DE RECURSOS HUMANOS"/>
    <s v="00001 - ACCION"/>
    <n v="2426"/>
    <n v="1213"/>
    <n v="124"/>
    <n v="124"/>
    <x v="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2. PERSONAL CONTRATADO"/>
    <s v="0 . RECURSOS ORDINARIOS"/>
    <n v="10202"/>
    <n v="0"/>
    <n v="102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6"/>
    <x v="6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377. MEJORAMIENTO DE LA OFERTA DE LOS SERVICIOS DE SALUD"/>
    <s v="20. SALUD"/>
    <s v="044. SALUD INDIVIDUAL"/>
    <s v="0097. ATENCION MEDICA ESPECIALIZADA"/>
    <s v="00001"/>
    <s v="0006831. MEJORAR LA ATENCION A LA POBLACION"/>
    <s v="00006 - ATENCION"/>
    <n v="2400"/>
    <n v="1200"/>
    <n v="940"/>
    <n v="940"/>
    <x v="3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2. PERSONAL CONTRATADO"/>
    <s v="0 . RECURSOS ORDINARIOS"/>
    <n v="32268"/>
    <n v="-14000"/>
    <n v="182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6"/>
    <x v="6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00. ATENCION BASICA DE SALUD"/>
    <s v="20. SALUD"/>
    <s v="044. SALUD INDIVIDUAL"/>
    <s v="0096. ATENCION MEDICA BASICA"/>
    <s v="00001"/>
    <s v="0000251. ATENCION BASICA"/>
    <s v="00006 - ATENCION"/>
    <n v="200000"/>
    <n v="100000"/>
    <n v="78000"/>
    <n v="78000"/>
    <x v="3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2. PERSONAL CONTRATADO"/>
    <s v="0 . RECURSOS ORDINARIOS"/>
    <n v="75492"/>
    <n v="-754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6"/>
    <x v="6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10. ATENCION ESPECIALIZADA DE LA SALUD"/>
    <s v="20. SALUD"/>
    <s v="044. SALUD INDIVIDUAL"/>
    <s v="0097. ATENCION MEDICA ESPECIALIZADA"/>
    <s v="00001"/>
    <s v="0023484. ATENCION MEDICA ESPECIALIZADA"/>
    <s v="00006 - ATENCION"/>
    <n v="150000"/>
    <n v="75000"/>
    <n v="26347"/>
    <n v="26347"/>
    <x v="34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2. PERSONAL CONTRATADO"/>
    <s v="0 . RECURSOS ORDINARIOS"/>
    <n v="65724"/>
    <n v="0"/>
    <n v="65724"/>
    <n v="23408"/>
    <n v="23408"/>
    <n v="3344"/>
    <n v="3344"/>
    <n v="3344"/>
    <n v="3344"/>
    <n v="3344"/>
    <n v="3344"/>
    <n v="3344"/>
    <n v="0"/>
    <n v="0"/>
    <n v="0"/>
    <n v="0"/>
    <n v="0"/>
    <n v="3344"/>
    <n v="3344"/>
    <n v="3344"/>
    <n v="3344"/>
    <n v="3344"/>
    <n v="3344"/>
    <n v="3344"/>
    <n v="0"/>
    <n v="0"/>
    <n v="0"/>
    <n v="0"/>
    <n v="0"/>
    <n v="2820.46"/>
    <n v="3347.45"/>
    <n v="3380.45"/>
    <n v="3398.73"/>
    <n v="3275.25"/>
    <n v="3550.45"/>
    <n v="3135.17"/>
    <n v="0"/>
    <n v="0"/>
    <n v="0"/>
    <n v="0"/>
    <n v="0"/>
    <n v="2820.46"/>
    <n v="3282.19"/>
    <n v="3445.71"/>
    <n v="3389.62"/>
    <n v="3268.72"/>
    <n v="3566.09"/>
    <n v="3135.17"/>
    <n v="0"/>
    <n v="0"/>
    <n v="0"/>
    <n v="0"/>
    <n v="0"/>
    <x v="0"/>
    <x v="6"/>
    <x v="6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2. ATENCION EN CONSULTAS EXTERNAS"/>
    <s v="20. SALUD"/>
    <s v="044. SALUD INDIVIDUAL"/>
    <s v="0097. ATENCION MEDICA ESPECIALIZADA"/>
    <s v="00001"/>
    <s v="0000266. ATENCION EN CONSULTAS EXTERNAS"/>
    <s v="00006 - ATENCION"/>
    <n v="150000"/>
    <n v="75000"/>
    <n v="31583"/>
    <n v="31583"/>
    <x v="35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2. PERSONAL CONTRATADO"/>
    <s v="0 . RECURSOS ORDINARIOS"/>
    <n v="105108"/>
    <n v="-38724"/>
    <n v="66384"/>
    <n v="38724"/>
    <n v="38724"/>
    <n v="5532"/>
    <n v="5532"/>
    <n v="5532"/>
    <n v="5532"/>
    <n v="5532"/>
    <n v="5532"/>
    <n v="5532"/>
    <n v="0"/>
    <n v="0"/>
    <n v="0"/>
    <n v="0"/>
    <n v="0"/>
    <n v="5532"/>
    <n v="5532"/>
    <n v="5532"/>
    <n v="5532"/>
    <n v="5532"/>
    <n v="5532"/>
    <n v="5532"/>
    <n v="0"/>
    <n v="0"/>
    <n v="0"/>
    <n v="0"/>
    <n v="0"/>
    <n v="4673.1099999999997"/>
    <n v="5542.51"/>
    <n v="5542.38"/>
    <n v="5522.79"/>
    <n v="5326.23"/>
    <n v="6198.42"/>
    <n v="5110.95"/>
    <n v="0"/>
    <n v="0"/>
    <n v="0"/>
    <n v="0"/>
    <n v="0"/>
    <n v="4673.1099999999997"/>
    <n v="5542.51"/>
    <n v="5542.38"/>
    <n v="5522.79"/>
    <n v="5326.23"/>
    <n v="6198.42"/>
    <n v="5110.95"/>
    <n v="0"/>
    <n v="0"/>
    <n v="0"/>
    <n v="0"/>
    <n v="0"/>
    <x v="0"/>
    <x v="6"/>
    <x v="6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2. PERSONAL CONTRATADO"/>
    <s v="0 . RECURSOS ORDINARIOS"/>
    <n v="82444"/>
    <n v="138873"/>
    <n v="221317"/>
    <n v="95107.51"/>
    <n v="95107.51"/>
    <n v="3344"/>
    <n v="29737.71"/>
    <n v="16720"/>
    <n v="6688"/>
    <n v="6688"/>
    <n v="6688"/>
    <n v="25241.8"/>
    <n v="0"/>
    <n v="0"/>
    <n v="0"/>
    <n v="0"/>
    <n v="0"/>
    <n v="3344"/>
    <n v="29737.71"/>
    <n v="16720"/>
    <n v="6688"/>
    <n v="6688"/>
    <n v="6688"/>
    <n v="25241.8"/>
    <n v="0"/>
    <n v="0"/>
    <n v="0"/>
    <n v="0"/>
    <n v="0"/>
    <n v="2942.71"/>
    <n v="1916.38"/>
    <n v="44335.44"/>
    <n v="5385.41"/>
    <n v="6634.62"/>
    <n v="7000.54"/>
    <n v="23048.91"/>
    <n v="0"/>
    <n v="0"/>
    <n v="0"/>
    <n v="0"/>
    <n v="0"/>
    <n v="2942.71"/>
    <n v="1916.38"/>
    <n v="32396.84"/>
    <n v="5385.41"/>
    <n v="9612.75"/>
    <n v="7000.54"/>
    <n v="18426.38"/>
    <n v="0"/>
    <n v="0"/>
    <n v="0"/>
    <n v="0"/>
    <n v="0"/>
    <x v="0"/>
    <x v="6"/>
    <x v="6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4. INTERVENCIONES QUIRURGICAS"/>
    <s v="20. SALUD"/>
    <s v="044. SALUD INDIVIDUAL"/>
    <s v="0097. ATENCION MEDICA ESPECIALIZADA"/>
    <s v="00001"/>
    <s v="0000257. ATENCION DE INTERVENCIONES QUIRURGICAS"/>
    <s v="00006 - ATENCION"/>
    <n v="20000"/>
    <n v="10000"/>
    <n v="8000"/>
    <n v="8000"/>
    <x v="3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2. PERSONAL CONTRATADO"/>
    <s v="0 . RECURSOS ORDINARIOS"/>
    <n v="60300"/>
    <n v="0"/>
    <n v="60300"/>
    <n v="3344"/>
    <n v="3344"/>
    <n v="3344"/>
    <n v="0"/>
    <n v="0"/>
    <n v="0"/>
    <n v="0"/>
    <n v="0"/>
    <n v="0"/>
    <n v="0"/>
    <n v="0"/>
    <n v="0"/>
    <n v="0"/>
    <n v="0"/>
    <n v="3344"/>
    <n v="0"/>
    <n v="0"/>
    <n v="0"/>
    <n v="0"/>
    <n v="0"/>
    <n v="0"/>
    <n v="0"/>
    <n v="0"/>
    <n v="0"/>
    <n v="0"/>
    <n v="0"/>
    <n v="2981.13"/>
    <n v="362.87"/>
    <n v="0"/>
    <n v="0"/>
    <n v="0"/>
    <n v="0"/>
    <n v="0"/>
    <n v="0"/>
    <n v="0"/>
    <n v="0"/>
    <n v="0"/>
    <n v="0"/>
    <n v="2981.13"/>
    <n v="362.87"/>
    <n v="0"/>
    <n v="0"/>
    <n v="0"/>
    <n v="0"/>
    <n v="0"/>
    <n v="0"/>
    <n v="0"/>
    <n v="0"/>
    <n v="0"/>
    <n v="0"/>
    <x v="0"/>
    <x v="6"/>
    <x v="6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6. OTRAS ATENCIONES DE SALUD ESPECIALIZADAS"/>
    <s v="20. SALUD"/>
    <s v="044. SALUD INDIVIDUAL"/>
    <s v="0097. ATENCION MEDICA ESPECIALIZADA"/>
    <s v="00001"/>
    <s v="0023484. ATENCION MEDICA ESPECIALIZADA"/>
    <s v="00006 - ATENCION"/>
    <n v="25000"/>
    <n v="12500"/>
    <n v="11000"/>
    <n v="11000"/>
    <x v="3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2. PERSONAL CONTRATADO"/>
    <s v="0 . RECURSOS ORDINARIOS"/>
    <n v="30300"/>
    <n v="0"/>
    <n v="303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6"/>
    <x v="6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2197. PRESTACIONES ADMINISTRATIVAS SUBSIDIADAS/NO TARIFADO"/>
    <s v="20. SALUD"/>
    <s v="044. SALUD INDIVIDUAL"/>
    <s v="0097. ATENCION MEDICA ESPECIALIZADA"/>
    <s v="00001"/>
    <s v="0002088. SEGURO INTEGRAL DE SALUD"/>
    <s v="00006 - ATENCION"/>
    <n v="50000"/>
    <n v="25000"/>
    <n v="26500"/>
    <n v="26500"/>
    <x v="4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2. PERSONAL CONTRATADO"/>
    <s v="0 . RECURSOS ORDINARIOS"/>
    <n v="118856"/>
    <n v="-49174"/>
    <n v="69682"/>
    <n v="41795.43"/>
    <n v="41795.43"/>
    <n v="8876"/>
    <n v="14011.43"/>
    <n v="8876"/>
    <n v="3344"/>
    <n v="3344"/>
    <n v="3344"/>
    <n v="0"/>
    <n v="0"/>
    <n v="0"/>
    <n v="0"/>
    <n v="0"/>
    <n v="0"/>
    <n v="8876"/>
    <n v="14011.43"/>
    <n v="8876"/>
    <n v="3344"/>
    <n v="3344"/>
    <n v="3344"/>
    <n v="0"/>
    <n v="0"/>
    <n v="0"/>
    <n v="0"/>
    <n v="0"/>
    <n v="0"/>
    <n v="6004.57"/>
    <n v="8864.86"/>
    <n v="14376.37"/>
    <n v="5423.41"/>
    <n v="3324.88"/>
    <n v="3794.32"/>
    <n v="3.55"/>
    <n v="0"/>
    <n v="0"/>
    <n v="0"/>
    <n v="0"/>
    <n v="0"/>
    <n v="6004.57"/>
    <n v="8864.86"/>
    <n v="9674.8799999999992"/>
    <n v="5423.41"/>
    <n v="3324.88"/>
    <n v="3794.32"/>
    <n v="3.55"/>
    <n v="0"/>
    <n v="0"/>
    <n v="0"/>
    <n v="0"/>
    <n v="0"/>
    <x v="0"/>
    <x v="6"/>
    <x v="6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877."/>
    <s v="5.ACTIVIDAD"/>
    <s v="5000029. ATENDER A NIÑOS CON DIAGNOSTICO DE INFECCIONES RESPIRATORIAS AGUDAS CON COMPLICACIONES"/>
    <s v="20. SALUD"/>
    <s v="044. SALUD INDIVIDUAL"/>
    <s v="0097. ATENCION MEDICA ESPECIALIZADA"/>
    <s v="00001"/>
    <s v="0033313. ATENCION IRA CON COMPLICACIONES"/>
    <s v="00016 - CASO TRATADO"/>
    <n v="221"/>
    <n v="110"/>
    <n v="108"/>
    <n v="108"/>
    <x v="4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5. PERSONAL POR SERVICIOS COMPLEMENTARIOS DE SALUD"/>
    <s v="0 . RECURSOS ORDINARIOS"/>
    <n v="0"/>
    <n v="25174"/>
    <n v="25174"/>
    <n v="25110"/>
    <n v="25110"/>
    <n v="0"/>
    <n v="0"/>
    <n v="0"/>
    <n v="0"/>
    <n v="0"/>
    <n v="0"/>
    <n v="25110"/>
    <n v="0"/>
    <n v="0"/>
    <n v="0"/>
    <n v="0"/>
    <n v="0"/>
    <n v="0"/>
    <n v="0"/>
    <n v="0"/>
    <n v="0"/>
    <n v="0"/>
    <n v="0"/>
    <n v="25110"/>
    <n v="0"/>
    <n v="0"/>
    <n v="0"/>
    <n v="0"/>
    <n v="0"/>
    <n v="0"/>
    <n v="0"/>
    <n v="0"/>
    <n v="0"/>
    <n v="0"/>
    <n v="0"/>
    <n v="13254"/>
    <n v="0"/>
    <n v="0"/>
    <n v="0"/>
    <n v="0"/>
    <n v="0"/>
    <n v="0"/>
    <n v="0"/>
    <n v="0"/>
    <n v="0"/>
    <n v="0"/>
    <n v="0"/>
    <n v="13254"/>
    <n v="0"/>
    <n v="0"/>
    <n v="0"/>
    <n v="0"/>
    <n v="0"/>
    <x v="0"/>
    <x v="7"/>
    <x v="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1."/>
    <s v="5.ACTIVIDAD"/>
    <s v="5000042. MEJORAMIENTO DEL ACCESO DE LA POBLACION A METODOS DE PLANIFICACION FAMILIAR"/>
    <s v="20. SALUD"/>
    <s v="044. SALUD INDIVIDUAL"/>
    <s v="0096. ATENCION MEDICA BASICA"/>
    <s v="00001"/>
    <s v="0033291. POBLACION ACCEDE A METODOS DE PLANIFICACION FAMILIAR"/>
    <s v="00206 - PAREJA PROTEGIDA"/>
    <n v="2838"/>
    <n v="1419"/>
    <n v="909"/>
    <n v="909"/>
    <x v="44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5. PERSONAL POR SERVICIOS COMPLEMENTARIOS DE SALUD"/>
    <s v="0 . RECURSOS ORDINARIOS"/>
    <n v="0"/>
    <n v="105411"/>
    <n v="105411"/>
    <n v="105411"/>
    <n v="105411"/>
    <n v="0"/>
    <n v="0"/>
    <n v="0"/>
    <n v="0"/>
    <n v="0"/>
    <n v="0"/>
    <n v="105411"/>
    <n v="0"/>
    <n v="0"/>
    <n v="0"/>
    <n v="0"/>
    <n v="0"/>
    <n v="0"/>
    <n v="0"/>
    <n v="0"/>
    <n v="0"/>
    <n v="0"/>
    <n v="0"/>
    <n v="105411"/>
    <n v="0"/>
    <n v="0"/>
    <n v="0"/>
    <n v="0"/>
    <n v="0"/>
    <n v="0"/>
    <n v="0"/>
    <n v="0"/>
    <n v="0"/>
    <n v="0"/>
    <n v="0"/>
    <n v="92902"/>
    <n v="0"/>
    <n v="0"/>
    <n v="0"/>
    <n v="0"/>
    <n v="0"/>
    <n v="0"/>
    <n v="0"/>
    <n v="0"/>
    <n v="0"/>
    <n v="0"/>
    <n v="0"/>
    <n v="92902"/>
    <n v="0"/>
    <n v="0"/>
    <n v="0"/>
    <n v="0"/>
    <n v="0"/>
    <x v="0"/>
    <x v="7"/>
    <x v="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4."/>
    <s v="5.ACTIVIDAD"/>
    <s v="5000044. BRINDAR ATENCION A LA GESTANTE CON COMPLICACIONES"/>
    <s v="20. SALUD"/>
    <s v="044. SALUD INDIVIDUAL"/>
    <s v="0097. ATENCION MEDICA ESPECIALIZADA"/>
    <s v="00001"/>
    <s v="0033294. ATENCION DE LA GESTANTE CON COMPLICACIONES"/>
    <s v="00016 - CASO TRATADO"/>
    <n v="4100"/>
    <n v="2050"/>
    <n v="1830"/>
    <n v="1830"/>
    <x v="1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5. PERSONAL POR SERVICIOS COMPLEMENTARIOS DE SALUD"/>
    <s v="0 . RECURSOS ORDINARIOS"/>
    <n v="99792"/>
    <n v="0"/>
    <n v="99792"/>
    <n v="99792"/>
    <n v="99792"/>
    <n v="17094"/>
    <n v="7835"/>
    <n v="7621"/>
    <n v="0"/>
    <n v="67103"/>
    <n v="0"/>
    <n v="0"/>
    <n v="0"/>
    <n v="0"/>
    <n v="0"/>
    <n v="0"/>
    <n v="0"/>
    <n v="17094"/>
    <n v="7835"/>
    <n v="7621"/>
    <n v="0"/>
    <n v="67103"/>
    <n v="0"/>
    <n v="0"/>
    <n v="0"/>
    <n v="0"/>
    <n v="0"/>
    <n v="0"/>
    <n v="0"/>
    <n v="0"/>
    <n v="17094"/>
    <n v="14595.02"/>
    <n v="860.98"/>
    <n v="63809"/>
    <n v="3294"/>
    <n v="0"/>
    <n v="0"/>
    <n v="0"/>
    <n v="0"/>
    <n v="0"/>
    <n v="0"/>
    <n v="0"/>
    <n v="17094"/>
    <n v="14595.02"/>
    <n v="860.98"/>
    <n v="63809"/>
    <n v="3294"/>
    <n v="0"/>
    <n v="0"/>
    <n v="0"/>
    <n v="0"/>
    <n v="0"/>
    <n v="0"/>
    <x v="0"/>
    <x v="7"/>
    <x v="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6."/>
    <s v="5.ACTIVIDAD"/>
    <s v="5000046. BRINDAR ATENCION DEL PARTO COMPLICADO NO QUIRURGICO"/>
    <s v="20. SALUD"/>
    <s v="044. SALUD INDIVIDUAL"/>
    <s v="0097. ATENCION MEDICA ESPECIALIZADA"/>
    <s v="00001"/>
    <s v="0033296. ATENCION DEL PARTO COMPLICADO NO QUIRURGICO"/>
    <s v="00209 - PARTO COMPLICADO"/>
    <n v="1420"/>
    <n v="710"/>
    <n v="443"/>
    <n v="443"/>
    <x v="1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5. PERSONAL POR SERVICIOS COMPLEMENTARIOS DE SALUD"/>
    <s v="0 . RECURSOS ORDINARIOS"/>
    <n v="0"/>
    <n v="25308"/>
    <n v="25308"/>
    <n v="24877"/>
    <n v="24877"/>
    <n v="0"/>
    <n v="0"/>
    <n v="0"/>
    <n v="0"/>
    <n v="0"/>
    <n v="0"/>
    <n v="24877"/>
    <n v="0"/>
    <n v="0"/>
    <n v="0"/>
    <n v="0"/>
    <n v="0"/>
    <n v="0"/>
    <n v="0"/>
    <n v="0"/>
    <n v="0"/>
    <n v="0"/>
    <n v="0"/>
    <n v="24877"/>
    <n v="0"/>
    <n v="0"/>
    <n v="0"/>
    <n v="0"/>
    <n v="0"/>
    <n v="0"/>
    <n v="0"/>
    <n v="0"/>
    <n v="0"/>
    <n v="0"/>
    <n v="0"/>
    <n v="21936"/>
    <n v="0"/>
    <n v="0"/>
    <n v="0"/>
    <n v="0"/>
    <n v="0"/>
    <n v="0"/>
    <n v="0"/>
    <n v="0"/>
    <n v="0"/>
    <n v="0"/>
    <n v="0"/>
    <n v="21936"/>
    <n v="0"/>
    <n v="0"/>
    <n v="0"/>
    <n v="0"/>
    <n v="0"/>
    <x v="0"/>
    <x v="7"/>
    <x v="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7."/>
    <s v="5.ACTIVIDAD"/>
    <s v="5000047. BRINDAR ATENCION DEL PARTO COMPLICADO QUIRURGICO"/>
    <s v="20. SALUD"/>
    <s v="044. SALUD INDIVIDUAL"/>
    <s v="0097. ATENCION MEDICA ESPECIALIZADA"/>
    <s v="00001"/>
    <s v="0033297. ATENCION DEL PARTO COMPLICADO QUIRURGICO"/>
    <s v="00210 - CESAREA"/>
    <n v="1550"/>
    <n v="775"/>
    <n v="747"/>
    <n v="747"/>
    <x v="1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5. PERSONAL POR SERVICIOS COMPLEMENTARIOS DE SALUD"/>
    <s v="0 . RECURSOS ORDINARIOS"/>
    <n v="135072"/>
    <n v="0"/>
    <n v="135072"/>
    <n v="135072"/>
    <n v="135072"/>
    <n v="52440"/>
    <n v="12306"/>
    <n v="11982"/>
    <n v="0"/>
    <n v="58116"/>
    <n v="0"/>
    <n v="0"/>
    <n v="0"/>
    <n v="0"/>
    <n v="0"/>
    <n v="0"/>
    <n v="0"/>
    <n v="52440"/>
    <n v="12306"/>
    <n v="11982"/>
    <n v="0"/>
    <n v="58116"/>
    <n v="0"/>
    <n v="0"/>
    <n v="0"/>
    <n v="0"/>
    <n v="0"/>
    <n v="0"/>
    <n v="0"/>
    <n v="0"/>
    <n v="52440"/>
    <n v="23038.07"/>
    <n v="1249.93"/>
    <n v="58116"/>
    <n v="0"/>
    <n v="0"/>
    <n v="0"/>
    <n v="0"/>
    <n v="0"/>
    <n v="0"/>
    <n v="0"/>
    <n v="0"/>
    <n v="52440"/>
    <n v="23038.07"/>
    <n v="1249.93"/>
    <n v="58116"/>
    <n v="0"/>
    <n v="0"/>
    <n v="0"/>
    <n v="0"/>
    <n v="0"/>
    <n v="0"/>
    <n v="0"/>
    <x v="0"/>
    <x v="7"/>
    <x v="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8."/>
    <s v="5.ACTIVIDAD"/>
    <s v="5000048. ATENDER EL PUERPERIO"/>
    <s v="20. SALUD"/>
    <s v="044. SALUD INDIVIDUAL"/>
    <s v="0096. ATENCION MEDICA BASICA"/>
    <s v="00001"/>
    <s v="0033298. ATENCION DEL PUERPERIO"/>
    <s v="00628 - DELITO ATENDIDO"/>
    <n v="150"/>
    <n v="75"/>
    <n v="15"/>
    <n v="15"/>
    <x v="14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5. PERSONAL POR SERVICIOS COMPLEMENTARIOS DE SALUD"/>
    <s v="0 . RECURSOS ORDINARIOS"/>
    <n v="0"/>
    <n v="20046"/>
    <n v="20046"/>
    <n v="19914"/>
    <n v="19914"/>
    <n v="0"/>
    <n v="0"/>
    <n v="0"/>
    <n v="0"/>
    <n v="0"/>
    <n v="0"/>
    <n v="19914"/>
    <n v="0"/>
    <n v="0"/>
    <n v="0"/>
    <n v="0"/>
    <n v="0"/>
    <n v="0"/>
    <n v="0"/>
    <n v="0"/>
    <n v="0"/>
    <n v="0"/>
    <n v="0"/>
    <n v="199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7"/>
    <x v="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4."/>
    <s v="5.ACTIVIDAD"/>
    <s v="5000052. MEJORAMIENTO DEL ACCESO AL SISTEMA DE REFERENCIA INSTITUCIONAL"/>
    <s v="20. SALUD"/>
    <s v="044. SALUD INDIVIDUAL"/>
    <s v="0096. ATENCION MEDICA BASICA"/>
    <s v="00001"/>
    <s v="0033304. ACCESO AL SISTEMA DE REFERENCIA INSTITUCIONAL"/>
    <s v="00214 - GESTANTE Y/O NEONATO REFERIDO"/>
    <n v="14"/>
    <n v="7"/>
    <n v="8"/>
    <n v="8"/>
    <x v="45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5. PERSONAL POR SERVICIOS COMPLEMENTARIOS DE SALUD"/>
    <s v="0 . RECURSOS ORDINARIOS"/>
    <n v="0"/>
    <n v="24180"/>
    <n v="24180"/>
    <n v="23034"/>
    <n v="23034"/>
    <n v="0"/>
    <n v="0"/>
    <n v="0"/>
    <n v="0"/>
    <n v="0"/>
    <n v="0"/>
    <n v="23034"/>
    <n v="0"/>
    <n v="0"/>
    <n v="0"/>
    <n v="0"/>
    <n v="0"/>
    <n v="0"/>
    <n v="0"/>
    <n v="0"/>
    <n v="0"/>
    <n v="0"/>
    <n v="0"/>
    <n v="230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7"/>
    <x v="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5."/>
    <s v="5.ACTIVIDAD"/>
    <s v="5000053. ATENDER AL RECIEN NACIDO NORMAL"/>
    <s v="20. SALUD"/>
    <s v="044. SALUD INDIVIDUAL"/>
    <s v="0096. ATENCION MEDICA BASICA"/>
    <s v="00001"/>
    <s v="0033305. ATENCION DEL RECIEN NACIDO NORMAL"/>
    <s v="00239 - RECIEN NACIDO ATENDIDO"/>
    <n v="7546"/>
    <n v="3773"/>
    <n v="2820"/>
    <n v="2820"/>
    <x v="1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5. PERSONAL POR SERVICIOS COMPLEMENTARIOS DE SALUD"/>
    <s v="0 . RECURSOS ORDINARIOS"/>
    <n v="56700"/>
    <n v="0"/>
    <n v="56700"/>
    <n v="56700"/>
    <n v="56700"/>
    <n v="42552"/>
    <n v="10256"/>
    <n v="-10256"/>
    <n v="0"/>
    <n v="13908"/>
    <n v="0"/>
    <n v="0"/>
    <n v="0"/>
    <n v="0"/>
    <n v="0"/>
    <n v="0"/>
    <n v="0"/>
    <n v="42552"/>
    <n v="10256"/>
    <n v="-10256"/>
    <n v="0"/>
    <n v="13908"/>
    <n v="0"/>
    <n v="0"/>
    <n v="0"/>
    <n v="0"/>
    <n v="0"/>
    <n v="0"/>
    <n v="0"/>
    <n v="0"/>
    <n v="42552"/>
    <n v="0"/>
    <n v="0"/>
    <n v="12078"/>
    <n v="1830"/>
    <n v="0"/>
    <n v="0"/>
    <n v="0"/>
    <n v="0"/>
    <n v="0"/>
    <n v="0"/>
    <n v="0"/>
    <n v="42552"/>
    <n v="0"/>
    <n v="0"/>
    <n v="12078"/>
    <n v="1830"/>
    <n v="0"/>
    <n v="0"/>
    <n v="0"/>
    <n v="0"/>
    <n v="0"/>
    <n v="0"/>
    <x v="0"/>
    <x v="7"/>
    <x v="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6."/>
    <s v="5.ACTIVIDAD"/>
    <s v="5000054. ATENDER AL RECIEN NACIDO CON COMPLICACIONES"/>
    <s v="20. SALUD"/>
    <s v="044. SALUD INDIVIDUAL"/>
    <s v="0097. ATENCION MEDICA ESPECIALIZADA"/>
    <s v="00001"/>
    <s v="0033306. ATENCION DEL RECIEN NACIDO CON COMPLICACIONES"/>
    <s v="00016 - CASO TRATADO"/>
    <n v="2469"/>
    <n v="1234"/>
    <n v="728"/>
    <n v="728"/>
    <x v="1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5. PERSONAL POR SERVICIOS COMPLEMENTARIOS DE SALUD"/>
    <s v="0 . RECURSOS ORDINARIOS"/>
    <n v="66528"/>
    <n v="0"/>
    <n v="66528"/>
    <n v="66528"/>
    <n v="66528"/>
    <n v="16104"/>
    <n v="970"/>
    <n v="16694"/>
    <n v="0"/>
    <n v="32718"/>
    <n v="0"/>
    <n v="0"/>
    <n v="0"/>
    <n v="0"/>
    <n v="0"/>
    <n v="0"/>
    <n v="0"/>
    <n v="16104"/>
    <n v="970"/>
    <n v="16694"/>
    <n v="0"/>
    <n v="32718"/>
    <n v="0"/>
    <n v="0"/>
    <n v="0"/>
    <n v="0"/>
    <n v="0"/>
    <n v="0"/>
    <n v="0"/>
    <n v="0"/>
    <n v="16104"/>
    <n v="16572.16"/>
    <n v="1091.8399999999999"/>
    <n v="32671"/>
    <n v="47"/>
    <n v="0"/>
    <n v="0"/>
    <n v="0"/>
    <n v="0"/>
    <n v="0"/>
    <n v="0"/>
    <n v="0"/>
    <n v="16104"/>
    <n v="16572.16"/>
    <n v="1091.8399999999999"/>
    <n v="32671"/>
    <n v="47"/>
    <n v="0"/>
    <n v="0"/>
    <n v="0"/>
    <n v="0"/>
    <n v="0"/>
    <n v="0"/>
    <x v="0"/>
    <x v="7"/>
    <x v="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7."/>
    <s v="5.ACTIVIDAD"/>
    <s v="5000055. ATENDER AL RECIEN NACIDO CON COMPLICACIONES QUE REQUIERE UNIDAD DE CUIDADOS INTENSIVOS NEONATALES - UCIN"/>
    <s v="20. SALUD"/>
    <s v="044. SALUD INDIVIDUAL"/>
    <s v="0097. ATENCION MEDICA ESPECIALIZADA"/>
    <s v="00001"/>
    <s v="0033307. ATENCION DEL RECIEN NACIDO CON COMPLICACIONES QUE REQUIERE UNIDAD DE CUIDADOS INTENSIVOS NEONATALES - UCIN"/>
    <s v="00016 - CASO TRATADO"/>
    <n v="1148"/>
    <n v="574"/>
    <n v="436"/>
    <n v="436"/>
    <x v="1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5. PERSONAL POR SERVICIOS COMPLEMENTARIOS DE SALUD"/>
    <s v="0 . RECURSOS ORDINARIOS"/>
    <n v="31752"/>
    <n v="0"/>
    <n v="31752"/>
    <n v="31752"/>
    <n v="31752"/>
    <n v="22008"/>
    <n v="0"/>
    <n v="8832"/>
    <n v="0"/>
    <n v="0"/>
    <n v="0"/>
    <n v="0"/>
    <n v="0"/>
    <n v="0"/>
    <n v="0"/>
    <n v="0"/>
    <n v="0"/>
    <n v="22008"/>
    <n v="0"/>
    <n v="8832"/>
    <n v="0"/>
    <n v="0"/>
    <n v="0"/>
    <n v="0"/>
    <n v="0"/>
    <n v="0"/>
    <n v="0"/>
    <n v="0"/>
    <n v="0"/>
    <n v="0"/>
    <n v="22008"/>
    <n v="8280.1299999999992"/>
    <n v="551.87"/>
    <n v="0"/>
    <n v="0"/>
    <n v="0"/>
    <n v="0"/>
    <n v="0"/>
    <n v="0"/>
    <n v="0"/>
    <n v="0"/>
    <n v="0"/>
    <n v="22008"/>
    <n v="8280.1299999999992"/>
    <n v="551.87"/>
    <n v="0"/>
    <n v="0"/>
    <n v="0"/>
    <n v="0"/>
    <n v="0"/>
    <n v="0"/>
    <n v="0"/>
    <n v="0"/>
    <x v="0"/>
    <x v="7"/>
    <x v="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12."/>
    <s v="5.ACTIVIDAD"/>
    <s v="5004436. DESPISTAJE DE TUBERCULOSIS EN SINTOMATICOS RESPIRATORIOS"/>
    <s v="20. SALUD"/>
    <s v="044. SALUD INDIVIDUAL"/>
    <s v="0096. ATENCION MEDICA BASICA"/>
    <s v="00001"/>
    <s v="0043962. DESPISTAJE DE TUBERCULOSIS EN SINTOMATICOS RESPIRATORIOS"/>
    <s v="00087 - PERSONA ATENDIDA"/>
    <n v="3212"/>
    <n v="1606"/>
    <n v="647.70000000000005"/>
    <n v="647.70000000000005"/>
    <x v="4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5. PERSONAL POR SERVICIOS COMPLEMENTARIOS DE SALUD"/>
    <s v="0 . RECURSOS ORDINARIOS"/>
    <n v="0"/>
    <n v="39214"/>
    <n v="39214"/>
    <n v="25980"/>
    <n v="25980"/>
    <n v="0"/>
    <n v="0"/>
    <n v="0"/>
    <n v="0"/>
    <n v="0"/>
    <n v="0"/>
    <n v="25980"/>
    <n v="0"/>
    <n v="0"/>
    <n v="0"/>
    <n v="0"/>
    <n v="0"/>
    <n v="0"/>
    <n v="0"/>
    <n v="0"/>
    <n v="0"/>
    <n v="0"/>
    <n v="0"/>
    <n v="25980"/>
    <n v="0"/>
    <n v="0"/>
    <n v="0"/>
    <n v="0"/>
    <n v="0"/>
    <n v="0"/>
    <n v="0"/>
    <n v="0"/>
    <n v="0"/>
    <n v="0"/>
    <n v="0"/>
    <n v="24300"/>
    <n v="0"/>
    <n v="0"/>
    <n v="0"/>
    <n v="0"/>
    <n v="0"/>
    <n v="0"/>
    <n v="0"/>
    <n v="0"/>
    <n v="0"/>
    <n v="0"/>
    <n v="0"/>
    <n v="24300"/>
    <n v="0"/>
    <n v="0"/>
    <n v="0"/>
    <n v="0"/>
    <n v="0"/>
    <x v="0"/>
    <x v="7"/>
    <x v="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14."/>
    <s v="5.ACTIVIDAD"/>
    <s v="5004438. DIAGNOSTICO DE CASOS DE TUBERCULOSIS"/>
    <s v="20. SALUD"/>
    <s v="044. SALUD INDIVIDUAL"/>
    <s v="0096. ATENCION MEDICA BASICA"/>
    <s v="00001"/>
    <s v="0043964. DIAGNOSTICO DE CASOS DE TUBERCULOSIS"/>
    <s v="00393 - TASA"/>
    <n v="140"/>
    <n v="70"/>
    <n v="48"/>
    <n v="48"/>
    <x v="2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5. PERSONAL POR SERVICIOS COMPLEMENTARIOS DE SALUD"/>
    <s v="0 . RECURSOS ORDINARIOS"/>
    <n v="18144"/>
    <n v="4057"/>
    <n v="22201"/>
    <n v="18145"/>
    <n v="18145"/>
    <n v="11394"/>
    <n v="0"/>
    <n v="0"/>
    <n v="0"/>
    <n v="6072"/>
    <n v="0"/>
    <n v="1"/>
    <n v="0"/>
    <n v="0"/>
    <n v="0"/>
    <n v="0"/>
    <n v="0"/>
    <n v="11394"/>
    <n v="0"/>
    <n v="0"/>
    <n v="0"/>
    <n v="6072"/>
    <n v="0"/>
    <n v="1"/>
    <n v="0"/>
    <n v="0"/>
    <n v="0"/>
    <n v="0"/>
    <n v="0"/>
    <n v="0"/>
    <n v="11394"/>
    <n v="0"/>
    <n v="0"/>
    <n v="6039"/>
    <n v="33"/>
    <n v="0"/>
    <n v="0"/>
    <n v="0"/>
    <n v="0"/>
    <n v="0"/>
    <n v="0"/>
    <n v="0"/>
    <n v="11394"/>
    <n v="0"/>
    <n v="0"/>
    <n v="6039"/>
    <n v="33"/>
    <n v="0"/>
    <n v="0"/>
    <n v="0"/>
    <n v="0"/>
    <n v="0"/>
    <n v="0"/>
    <x v="0"/>
    <x v="7"/>
    <x v="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1"/>
    <s v=" ."/>
    <s v="3043983."/>
    <s v="5.ACTIVIDAD"/>
    <s v="5000093. EVALUACION, DIAGNOSTICO Y TRATAMIENTO DE ENFERMEDADES METAXENICAS"/>
    <s v="20. SALUD"/>
    <s v="044. SALUD INDIVIDUAL"/>
    <s v="0096. ATENCION MEDICA BASICA"/>
    <s v="00001"/>
    <s v="0043983. DIAGNOSTICO Y TRATAMIENTO DE ENFERMEDADES METAXENICAS"/>
    <s v="00394 - TECNICO"/>
    <n v="1379"/>
    <n v="689"/>
    <n v="198"/>
    <n v="198"/>
    <x v="46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5. PERSONAL POR SERVICIOS COMPLEMENTARIOS DE SALUD"/>
    <s v="0 . RECURSOS ORDINARIOS"/>
    <n v="0"/>
    <n v="41614"/>
    <n v="41614"/>
    <n v="40152"/>
    <n v="40152"/>
    <n v="0"/>
    <n v="0"/>
    <n v="0"/>
    <n v="0"/>
    <n v="0"/>
    <n v="0"/>
    <n v="40152"/>
    <n v="0"/>
    <n v="0"/>
    <n v="0"/>
    <n v="0"/>
    <n v="0"/>
    <n v="0"/>
    <n v="0"/>
    <n v="0"/>
    <n v="0"/>
    <n v="0"/>
    <n v="0"/>
    <n v="40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7"/>
    <x v="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680."/>
    <s v="5.ACTIVIDAD"/>
    <s v="5006275. ATENCION ESTOMATOLOGICA PREVENTIVA BASICA"/>
    <s v="20. SALUD"/>
    <s v="044. SALUD INDIVIDUAL"/>
    <s v="0096. ATENCION MEDICA BASICA"/>
    <s v="00001"/>
    <s v="0053294. ATENCION ESTOMATOLOGICA PREVENTIVA BASICA"/>
    <s v="00087 - PERSONA ATENDIDA"/>
    <n v="15339"/>
    <n v="7669"/>
    <n v="904"/>
    <n v="904"/>
    <x v="24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5. PERSONAL POR SERVICIOS COMPLEMENTARIOS DE SALUD"/>
    <s v="0 . RECURSOS ORDINARIOS"/>
    <n v="0"/>
    <n v="90402"/>
    <n v="90402"/>
    <n v="89586"/>
    <n v="89586"/>
    <n v="0"/>
    <n v="0"/>
    <n v="0"/>
    <n v="0"/>
    <n v="0"/>
    <n v="0"/>
    <n v="89586"/>
    <n v="0"/>
    <n v="0"/>
    <n v="0"/>
    <n v="0"/>
    <n v="0"/>
    <n v="0"/>
    <n v="0"/>
    <n v="0"/>
    <n v="0"/>
    <n v="0"/>
    <n v="0"/>
    <n v="895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7"/>
    <x v="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2824. ATENCION AMBULATORIA DE URGENCIAS (PRIORIDAD III O IV) EN MODULOS HOSPITALARIOS DIFERENCIADOS AUTORIZADOS"/>
    <s v="20. SALUD"/>
    <s v="044. SALUD INDIVIDUAL"/>
    <s v="0096. ATENCION MEDICA BASICA"/>
    <s v="00001"/>
    <s v="0076144. ATENCION AMBULATORIA DE URGENCIAS (PRIORIDAD III O IV) EN MODULOS HOSPITALARIOS DIFERENCIADOS AUTORIZADOS"/>
    <s v="00006 - ATENCION"/>
    <n v="2000"/>
    <n v="1000"/>
    <n v="1994"/>
    <n v="1994"/>
    <x v="2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5. PERSONAL POR SERVICIOS COMPLEMENTARIOS DE SALUD"/>
    <s v="0 . RECURSOS ORDINARIOS"/>
    <n v="24938"/>
    <n v="0"/>
    <n v="24938"/>
    <n v="24938"/>
    <n v="24938"/>
    <n v="14904"/>
    <n v="2760"/>
    <n v="-2760"/>
    <n v="0"/>
    <n v="9930"/>
    <n v="0"/>
    <n v="0"/>
    <n v="0"/>
    <n v="0"/>
    <n v="0"/>
    <n v="0"/>
    <n v="0"/>
    <n v="14904"/>
    <n v="2760"/>
    <n v="-2760"/>
    <n v="0"/>
    <n v="9930"/>
    <n v="0"/>
    <n v="0"/>
    <n v="0"/>
    <n v="0"/>
    <n v="0"/>
    <n v="0"/>
    <n v="0"/>
    <n v="0"/>
    <n v="14904"/>
    <n v="0"/>
    <n v="0"/>
    <n v="9930"/>
    <n v="0"/>
    <n v="0"/>
    <n v="0"/>
    <n v="0"/>
    <n v="0"/>
    <n v="0"/>
    <n v="0"/>
    <n v="0"/>
    <n v="14904"/>
    <n v="0"/>
    <n v="0"/>
    <n v="9930"/>
    <n v="0"/>
    <n v="0"/>
    <n v="0"/>
    <n v="0"/>
    <n v="0"/>
    <n v="0"/>
    <n v="0"/>
    <x v="0"/>
    <x v="7"/>
    <x v="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3. ATENCION DE LA EMERGENCIA Y URGENCIA ESPECIALIZADA"/>
    <s v="20. SALUD"/>
    <s v="044. SALUD INDIVIDUAL"/>
    <s v="0097. ATENCION MEDICA ESPECIALIZADA"/>
    <s v="00001"/>
    <s v="0188299. ATENCION DE LA EMERGENCIA Y URGENCIA ESPECIALIZADA"/>
    <s v="00006 - ATENCION"/>
    <n v="25000"/>
    <n v="12500"/>
    <n v="7470"/>
    <n v="7470"/>
    <x v="2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5. PERSONAL POR SERVICIOS COMPLEMENTARIOS DE SALUD"/>
    <s v="0 . RECURSOS ORDINARIOS"/>
    <n v="701221"/>
    <n v="108536"/>
    <n v="809757"/>
    <n v="809757"/>
    <n v="809757"/>
    <n v="173224"/>
    <n v="21436"/>
    <n v="97888"/>
    <n v="165334"/>
    <n v="231030"/>
    <n v="0"/>
    <n v="108536"/>
    <n v="0"/>
    <n v="0"/>
    <n v="0"/>
    <n v="0"/>
    <n v="0"/>
    <n v="173224"/>
    <n v="21436"/>
    <n v="97888"/>
    <n v="165334"/>
    <n v="231030"/>
    <n v="0"/>
    <n v="108536"/>
    <n v="0"/>
    <n v="0"/>
    <n v="0"/>
    <n v="0"/>
    <n v="0"/>
    <n v="0"/>
    <n v="173224"/>
    <n v="114114.37"/>
    <n v="5209.63"/>
    <n v="395793"/>
    <n v="253"/>
    <n v="108536"/>
    <n v="0"/>
    <n v="0"/>
    <n v="0"/>
    <n v="0"/>
    <n v="0"/>
    <n v="0"/>
    <n v="173224"/>
    <n v="114114.37"/>
    <n v="5209.63"/>
    <n v="395793"/>
    <n v="253"/>
    <n v="91932"/>
    <n v="0"/>
    <n v="0"/>
    <n v="0"/>
    <n v="0"/>
    <n v="0"/>
    <x v="0"/>
    <x v="7"/>
    <x v="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4. ATENCION DE LA EMERGENCIA DE CUIDADOS INTENSIVOS"/>
    <s v="20. SALUD"/>
    <s v="044. SALUD INDIVIDUAL"/>
    <s v="0097. ATENCION MEDICA ESPECIALIZADA"/>
    <s v="00001"/>
    <s v="0188300. ATENCION DE LA EMERGENCIA DE CUIDADOS INTENSIVOS"/>
    <s v="00006 - ATENCION"/>
    <n v="400"/>
    <n v="200"/>
    <n v="128"/>
    <n v="128"/>
    <x v="2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5. PERSONAL POR SERVICIOS COMPLEMENTARIOS DE SALUD"/>
    <s v="0 . RECURSOS ORDINARIOS"/>
    <n v="25596"/>
    <n v="0"/>
    <n v="25596"/>
    <n v="25596"/>
    <n v="25596"/>
    <n v="19860"/>
    <n v="0"/>
    <n v="0"/>
    <n v="0"/>
    <n v="5736"/>
    <n v="0"/>
    <n v="0"/>
    <n v="0"/>
    <n v="0"/>
    <n v="0"/>
    <n v="0"/>
    <n v="0"/>
    <n v="19860"/>
    <n v="0"/>
    <n v="0"/>
    <n v="0"/>
    <n v="5736"/>
    <n v="0"/>
    <n v="0"/>
    <n v="0"/>
    <n v="0"/>
    <n v="0"/>
    <n v="0"/>
    <n v="0"/>
    <n v="0"/>
    <n v="19860"/>
    <n v="0"/>
    <n v="0"/>
    <n v="3540"/>
    <n v="2196"/>
    <n v="0"/>
    <n v="0"/>
    <n v="0"/>
    <n v="0"/>
    <n v="0"/>
    <n v="0"/>
    <n v="0"/>
    <n v="19860"/>
    <n v="0"/>
    <n v="0"/>
    <n v="3540"/>
    <n v="2196"/>
    <n v="0"/>
    <n v="0"/>
    <n v="0"/>
    <n v="0"/>
    <n v="0"/>
    <n v="0"/>
    <x v="0"/>
    <x v="7"/>
    <x v="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5. ATENCION DE LA EMERGENCIA QUIRURGICA"/>
    <s v="20. SALUD"/>
    <s v="044. SALUD INDIVIDUAL"/>
    <s v="0097. ATENCION MEDICA ESPECIALIZADA"/>
    <s v="00001"/>
    <s v="0188301. ATENCION DE LA EMERGENCIA QUIRURGICA"/>
    <s v="00006 - ATENCION"/>
    <n v="3000"/>
    <n v="1500"/>
    <n v="1405"/>
    <n v="1405"/>
    <x v="3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5. PERSONAL POR SERVICIOS COMPLEMENTARIOS DE SALUD"/>
    <s v="0 . RECURSOS ORDINARIOS"/>
    <n v="136584"/>
    <n v="0"/>
    <n v="136584"/>
    <n v="136584"/>
    <n v="136584"/>
    <n v="55302"/>
    <n v="18284"/>
    <n v="42982"/>
    <n v="0"/>
    <n v="19938"/>
    <n v="0"/>
    <n v="0"/>
    <n v="0"/>
    <n v="0"/>
    <n v="0"/>
    <n v="0"/>
    <n v="0"/>
    <n v="55302"/>
    <n v="18284"/>
    <n v="42982"/>
    <n v="0"/>
    <n v="19938"/>
    <n v="0"/>
    <n v="0"/>
    <n v="0"/>
    <n v="0"/>
    <n v="0"/>
    <n v="0"/>
    <n v="0"/>
    <n v="0"/>
    <n v="55302"/>
    <n v="57810.18"/>
    <n v="3455.82"/>
    <n v="19938"/>
    <n v="0"/>
    <n v="0"/>
    <n v="0"/>
    <n v="0"/>
    <n v="0"/>
    <n v="0"/>
    <n v="0"/>
    <n v="0"/>
    <n v="55302"/>
    <n v="57810.18"/>
    <n v="3455.82"/>
    <n v="19938"/>
    <n v="0"/>
    <n v="0"/>
    <n v="0"/>
    <n v="0"/>
    <n v="0"/>
    <n v="0"/>
    <n v="0"/>
    <x v="0"/>
    <x v="7"/>
    <x v="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0"/>
    <s v=" ."/>
    <s v="3000688."/>
    <s v="5.ACTIVIDAD"/>
    <s v="5004449. CAPACITACION EN MEDICINA DE REHABILITACION"/>
    <s v="20. SALUD"/>
    <s v="044. SALUD INDIVIDUAL"/>
    <s v="0097. ATENCION MEDICA ESPECIALIZADA"/>
    <s v="00001"/>
    <s v="0136018. CAPACITACION EN MEDICINA DE REHABILITACION"/>
    <s v="00088 - PERSONA CAPACITADA"/>
    <n v="60"/>
    <n v="30"/>
    <n v="0"/>
    <n v="0"/>
    <x v="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5. PERSONAL POR SERVICIOS COMPLEMENTARIOS DE SALUD"/>
    <s v="0 . RECURSOS ORDINARIOS"/>
    <n v="25200"/>
    <n v="0"/>
    <n v="25200"/>
    <n v="25200"/>
    <n v="25200"/>
    <n v="11280"/>
    <n v="791"/>
    <n v="-791"/>
    <n v="0"/>
    <n v="13746"/>
    <n v="0"/>
    <n v="0"/>
    <n v="0"/>
    <n v="0"/>
    <n v="0"/>
    <n v="0"/>
    <n v="0"/>
    <n v="11280"/>
    <n v="791"/>
    <n v="-791"/>
    <n v="0"/>
    <n v="13746"/>
    <n v="0"/>
    <n v="0"/>
    <n v="0"/>
    <n v="0"/>
    <n v="0"/>
    <n v="0"/>
    <n v="0"/>
    <n v="0"/>
    <n v="11280"/>
    <n v="0"/>
    <n v="0"/>
    <n v="13746"/>
    <n v="0"/>
    <n v="0"/>
    <n v="0"/>
    <n v="0"/>
    <n v="0"/>
    <n v="0"/>
    <n v="0"/>
    <n v="0"/>
    <n v="11280"/>
    <n v="0"/>
    <n v="0"/>
    <n v="13746"/>
    <n v="0"/>
    <n v="0"/>
    <n v="0"/>
    <n v="0"/>
    <n v="0"/>
    <n v="0"/>
    <n v="0"/>
    <x v="0"/>
    <x v="7"/>
    <x v="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5. PERSONAL POR SERVICIOS COMPLEMENTARIOS DE SALUD"/>
    <s v="0 . RECURSOS ORDINARIOS"/>
    <n v="13356"/>
    <n v="0"/>
    <n v="13356"/>
    <n v="13356"/>
    <n v="13356"/>
    <n v="0"/>
    <n v="5206"/>
    <n v="-5206"/>
    <n v="0"/>
    <n v="0"/>
    <n v="0"/>
    <n v="0"/>
    <n v="0"/>
    <n v="0"/>
    <n v="0"/>
    <n v="0"/>
    <n v="0"/>
    <n v="0"/>
    <n v="5206"/>
    <n v="-52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7"/>
    <x v="7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377. MEJORAMIENTO DE LA OFERTA DE LOS SERVICIOS DE SALUD"/>
    <s v="20. SALUD"/>
    <s v="044. SALUD INDIVIDUAL"/>
    <s v="0097. ATENCION MEDICA ESPECIALIZADA"/>
    <s v="00001"/>
    <s v="0006831. MEJORAR LA ATENCION A LA POBLACION"/>
    <s v="00006 - ATENCION"/>
    <n v="2400"/>
    <n v="1200"/>
    <n v="940"/>
    <n v="940"/>
    <x v="3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5. PERSONAL POR SERVICIOS COMPLEMENTARIOS DE SALUD"/>
    <s v="0 . RECURSOS ORDINARIOS"/>
    <n v="9540"/>
    <n v="0"/>
    <n v="9540"/>
    <n v="9540"/>
    <n v="9540"/>
    <n v="3660"/>
    <n v="2278"/>
    <n v="650"/>
    <n v="0"/>
    <n v="0"/>
    <n v="0"/>
    <n v="0"/>
    <n v="0"/>
    <n v="0"/>
    <n v="0"/>
    <n v="0"/>
    <n v="0"/>
    <n v="3660"/>
    <n v="2278"/>
    <n v="650"/>
    <n v="0"/>
    <n v="0"/>
    <n v="0"/>
    <n v="0"/>
    <n v="0"/>
    <n v="0"/>
    <n v="0"/>
    <n v="0"/>
    <n v="0"/>
    <n v="0"/>
    <n v="3660"/>
    <n v="2928"/>
    <n v="0"/>
    <n v="0"/>
    <n v="0"/>
    <n v="0"/>
    <n v="0"/>
    <n v="0"/>
    <n v="0"/>
    <n v="0"/>
    <n v="0"/>
    <n v="0"/>
    <n v="3660"/>
    <n v="2928"/>
    <n v="0"/>
    <n v="0"/>
    <n v="0"/>
    <n v="0"/>
    <n v="0"/>
    <n v="0"/>
    <n v="0"/>
    <n v="0"/>
    <n v="0"/>
    <x v="0"/>
    <x v="7"/>
    <x v="7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10. ATENCION ESPECIALIZADA DE LA SALUD"/>
    <s v="20. SALUD"/>
    <s v="044. SALUD INDIVIDUAL"/>
    <s v="0097. ATENCION MEDICA ESPECIALIZADA"/>
    <s v="00001"/>
    <s v="0023484. ATENCION MEDICA ESPECIALIZADA"/>
    <s v="00006 - ATENCION"/>
    <n v="150000"/>
    <n v="75000"/>
    <n v="26347"/>
    <n v="26347"/>
    <x v="34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5. PERSONAL POR SERVICIOS COMPLEMENTARIOS DE SALUD"/>
    <s v="0 . RECURSOS ORDINARIOS"/>
    <n v="0"/>
    <n v="107469"/>
    <n v="107469"/>
    <n v="106410"/>
    <n v="106410"/>
    <n v="0"/>
    <n v="0"/>
    <n v="0"/>
    <n v="0"/>
    <n v="0"/>
    <n v="0"/>
    <n v="106410"/>
    <n v="0"/>
    <n v="0"/>
    <n v="0"/>
    <n v="0"/>
    <n v="0"/>
    <n v="0"/>
    <n v="0"/>
    <n v="0"/>
    <n v="0"/>
    <n v="0"/>
    <n v="0"/>
    <n v="1064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7"/>
    <x v="7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2. ATENCION EN CONSULTAS EXTERNAS"/>
    <s v="20. SALUD"/>
    <s v="044. SALUD INDIVIDUAL"/>
    <s v="0097. ATENCION MEDICA ESPECIALIZADA"/>
    <s v="00001"/>
    <s v="0000266. ATENCION EN CONSULTAS EXTERNAS"/>
    <s v="00006 - ATENCION"/>
    <n v="150000"/>
    <n v="75000"/>
    <n v="31583"/>
    <n v="31583"/>
    <x v="35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5. PERSONAL POR SERVICIOS COMPLEMENTARIOS DE SALUD"/>
    <s v="0 . RECURSOS ORDINARIOS"/>
    <n v="34940"/>
    <n v="0"/>
    <n v="34940"/>
    <n v="34940"/>
    <n v="34940"/>
    <n v="0"/>
    <n v="3519"/>
    <n v="-3519"/>
    <n v="0"/>
    <n v="0"/>
    <n v="0"/>
    <n v="0"/>
    <n v="0"/>
    <n v="0"/>
    <n v="0"/>
    <n v="0"/>
    <n v="0"/>
    <n v="0"/>
    <n v="3519"/>
    <n v="-35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7"/>
    <x v="7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5. PERSONAL POR SERVICIOS COMPLEMENTARIOS DE SALUD"/>
    <s v="0 . RECURSOS ORDINARIOS"/>
    <n v="41904"/>
    <n v="126946"/>
    <n v="168850"/>
    <n v="158928"/>
    <n v="158928"/>
    <n v="1830"/>
    <n v="14500"/>
    <n v="-14500"/>
    <n v="0"/>
    <n v="39840"/>
    <n v="0"/>
    <n v="117024"/>
    <n v="0"/>
    <n v="0"/>
    <n v="0"/>
    <n v="0"/>
    <n v="0"/>
    <n v="1830"/>
    <n v="14500"/>
    <n v="-14500"/>
    <n v="0"/>
    <n v="39840"/>
    <n v="0"/>
    <n v="117024"/>
    <n v="0"/>
    <n v="0"/>
    <n v="0"/>
    <n v="0"/>
    <n v="0"/>
    <n v="0"/>
    <n v="1830"/>
    <n v="0"/>
    <n v="0"/>
    <n v="39838"/>
    <n v="2"/>
    <n v="93504"/>
    <n v="0"/>
    <n v="0"/>
    <n v="0"/>
    <n v="0"/>
    <n v="0"/>
    <n v="0"/>
    <n v="1830"/>
    <n v="0"/>
    <n v="0"/>
    <n v="39838"/>
    <n v="2"/>
    <n v="82668"/>
    <n v="0"/>
    <n v="0"/>
    <n v="0"/>
    <n v="0"/>
    <n v="0"/>
    <x v="0"/>
    <x v="7"/>
    <x v="7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4. INTERVENCIONES QUIRURGICAS"/>
    <s v="20. SALUD"/>
    <s v="044. SALUD INDIVIDUAL"/>
    <s v="0097. ATENCION MEDICA ESPECIALIZADA"/>
    <s v="00001"/>
    <s v="0000257. ATENCION DE INTERVENCIONES QUIRURGICAS"/>
    <s v="00006 - ATENCION"/>
    <n v="20000"/>
    <n v="10000"/>
    <n v="8000"/>
    <n v="8000"/>
    <x v="3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5. PERSONAL POR SERVICIOS COMPLEMENTARIOS DE SALUD"/>
    <s v="0 . RECURSOS ORDINARIOS"/>
    <n v="60472"/>
    <n v="111641"/>
    <n v="172113"/>
    <n v="63400"/>
    <n v="63400"/>
    <n v="19872"/>
    <n v="15861"/>
    <n v="-7029"/>
    <n v="0"/>
    <n v="0"/>
    <n v="0"/>
    <n v="2928"/>
    <n v="0"/>
    <n v="0"/>
    <n v="0"/>
    <n v="0"/>
    <n v="0"/>
    <n v="19872"/>
    <n v="15861"/>
    <n v="-7029"/>
    <n v="0"/>
    <n v="0"/>
    <n v="0"/>
    <n v="2928"/>
    <n v="0"/>
    <n v="0"/>
    <n v="0"/>
    <n v="0"/>
    <n v="0"/>
    <n v="0"/>
    <n v="19872"/>
    <n v="8308.2900000000009"/>
    <n v="523.71"/>
    <n v="0"/>
    <n v="0"/>
    <n v="2928"/>
    <n v="0"/>
    <n v="0"/>
    <n v="0"/>
    <n v="0"/>
    <n v="0"/>
    <n v="0"/>
    <n v="19872"/>
    <n v="8308.2900000000009"/>
    <n v="523.71"/>
    <n v="0"/>
    <n v="0"/>
    <n v="2928"/>
    <n v="0"/>
    <n v="0"/>
    <n v="0"/>
    <n v="0"/>
    <n v="0"/>
    <x v="0"/>
    <x v="7"/>
    <x v="7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6. OTRAS ATENCIONES DE SALUD ESPECIALIZADAS"/>
    <s v="20. SALUD"/>
    <s v="044. SALUD INDIVIDUAL"/>
    <s v="0097. ATENCION MEDICA ESPECIALIZADA"/>
    <s v="00001"/>
    <s v="0023484. ATENCION MEDICA ESPECIALIZADA"/>
    <s v="00006 - ATENCION"/>
    <n v="25000"/>
    <n v="12500"/>
    <n v="11000"/>
    <n v="11000"/>
    <x v="3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5. PERSONAL POR SERVICIOS COMPLEMENTARIOS DE SALUD"/>
    <s v="0 . RECURSOS ORDINARIOS"/>
    <n v="24060"/>
    <n v="191921"/>
    <n v="215981"/>
    <n v="208354"/>
    <n v="208354"/>
    <n v="0"/>
    <n v="0"/>
    <n v="12660"/>
    <n v="0"/>
    <n v="0"/>
    <n v="0"/>
    <n v="184294"/>
    <n v="0"/>
    <n v="0"/>
    <n v="0"/>
    <n v="0"/>
    <n v="0"/>
    <n v="0"/>
    <n v="0"/>
    <n v="12660"/>
    <n v="0"/>
    <n v="0"/>
    <n v="0"/>
    <n v="184294"/>
    <n v="0"/>
    <n v="0"/>
    <n v="0"/>
    <n v="0"/>
    <n v="0"/>
    <n v="0"/>
    <n v="0"/>
    <n v="12145.96"/>
    <n v="514.04"/>
    <n v="0"/>
    <n v="0"/>
    <n v="184294"/>
    <n v="0"/>
    <n v="0"/>
    <n v="0"/>
    <n v="0"/>
    <n v="0"/>
    <n v="0"/>
    <n v="0"/>
    <n v="12145.96"/>
    <n v="514.04"/>
    <n v="0"/>
    <n v="0"/>
    <n v="143946"/>
    <n v="0"/>
    <n v="0"/>
    <n v="0"/>
    <n v="0"/>
    <n v="0"/>
    <x v="0"/>
    <x v="7"/>
    <x v="7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2768"/>
    <n v="1384"/>
    <n v="1400"/>
    <n v="1400"/>
    <x v="4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5. PERSONAL POR SERVICIOS COMPLEMENTARIOS DE SALUD"/>
    <s v="0 . RECURSOS ORDINARIOS"/>
    <n v="0"/>
    <n v="2116084"/>
    <n v="2116084"/>
    <n v="1627664"/>
    <n v="1627664"/>
    <n v="0"/>
    <n v="0"/>
    <n v="0"/>
    <n v="547419"/>
    <n v="0"/>
    <n v="0"/>
    <n v="0"/>
    <n v="0"/>
    <n v="0"/>
    <n v="0"/>
    <n v="0"/>
    <n v="0"/>
    <n v="0"/>
    <n v="0"/>
    <n v="0"/>
    <n v="547419"/>
    <n v="0"/>
    <n v="0"/>
    <n v="0"/>
    <n v="0"/>
    <n v="0"/>
    <n v="0"/>
    <n v="0"/>
    <n v="0"/>
    <n v="0"/>
    <n v="0"/>
    <n v="0"/>
    <n v="0"/>
    <n v="547403"/>
    <n v="0"/>
    <n v="0"/>
    <n v="0"/>
    <n v="0"/>
    <n v="0"/>
    <n v="0"/>
    <n v="0"/>
    <n v="0"/>
    <n v="0"/>
    <n v="0"/>
    <n v="0"/>
    <n v="530935"/>
    <n v="16468"/>
    <n v="0"/>
    <n v="0"/>
    <n v="0"/>
    <n v="0"/>
    <n v="0"/>
    <n v="0"/>
    <x v="0"/>
    <x v="7"/>
    <x v="7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2. ATENCION DE LA EMERGENCIA Y URGENCIA BASICA"/>
    <s v="20. SALUD"/>
    <s v="044. SALUD INDIVIDUAL"/>
    <s v="0096. ATENCION MEDICA BASICA"/>
    <s v="00001"/>
    <s v="0188298. ATENCION DE LA EMERGENCIA Y URGENCIA BASICA"/>
    <s v="00006 - ATENCION"/>
    <n v="100"/>
    <n v="50"/>
    <n v="1"/>
    <n v="1"/>
    <x v="41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5. PERSONAL POR SERVICIOS COMPLEMENTARIOS DE SALUD"/>
    <s v="0 . RECURSOS ORDINARIOS"/>
    <n v="0"/>
    <n v="157579"/>
    <n v="157579"/>
    <n v="154698"/>
    <n v="154698"/>
    <n v="0"/>
    <n v="0"/>
    <n v="0"/>
    <n v="0"/>
    <n v="0"/>
    <n v="0"/>
    <n v="154698"/>
    <n v="0"/>
    <n v="0"/>
    <n v="0"/>
    <n v="0"/>
    <n v="0"/>
    <n v="0"/>
    <n v="0"/>
    <n v="0"/>
    <n v="0"/>
    <n v="0"/>
    <n v="0"/>
    <n v="154698"/>
    <n v="0"/>
    <n v="0"/>
    <n v="0"/>
    <n v="0"/>
    <n v="0"/>
    <n v="0"/>
    <n v="0"/>
    <n v="0"/>
    <n v="0"/>
    <n v="0"/>
    <n v="0"/>
    <n v="154698"/>
    <n v="0"/>
    <n v="0"/>
    <n v="0"/>
    <n v="0"/>
    <n v="0"/>
    <n v="0"/>
    <n v="0"/>
    <n v="0"/>
    <n v="0"/>
    <n v="0"/>
    <n v="0"/>
    <n v="140401"/>
    <n v="0"/>
    <n v="0"/>
    <n v="0"/>
    <n v="0"/>
    <n v="0"/>
    <x v="0"/>
    <x v="7"/>
    <x v="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315."/>
    <s v="5.ACTIVIDAD"/>
    <s v="5000031. BRINDAR ATENCION A OTRAS ENFERMEDADES PREVALENTES"/>
    <s v="20. SALUD"/>
    <s v="044. SALUD INDIVIDUAL"/>
    <s v="0096. ATENCION MEDICA BASICA"/>
    <s v="00001"/>
    <s v="0033315. ATENCION DE OTRAS ENFERMEDADES PREVALENTES"/>
    <s v="00016 - CASO TRATADO"/>
    <n v="440"/>
    <n v="220"/>
    <n v="198"/>
    <n v="198"/>
    <x v="6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38124"/>
    <n v="4236"/>
    <n v="42360"/>
    <n v="29652"/>
    <n v="29652"/>
    <n v="4236"/>
    <n v="4236"/>
    <n v="4236"/>
    <n v="4236"/>
    <n v="4236"/>
    <n v="4236"/>
    <n v="4236"/>
    <n v="0"/>
    <n v="0"/>
    <n v="0"/>
    <n v="0"/>
    <n v="0"/>
    <n v="4236"/>
    <n v="4236"/>
    <n v="4236"/>
    <n v="4236"/>
    <n v="4236"/>
    <n v="4236"/>
    <n v="4236"/>
    <n v="0"/>
    <n v="0"/>
    <n v="0"/>
    <n v="0"/>
    <n v="0"/>
    <n v="2865.64"/>
    <n v="4252.53"/>
    <n v="4265.75"/>
    <n v="3962.05"/>
    <n v="4629.96"/>
    <n v="4345.87"/>
    <n v="4153.3599999999997"/>
    <n v="0"/>
    <n v="0"/>
    <n v="0"/>
    <n v="0"/>
    <n v="0"/>
    <n v="2865.64"/>
    <n v="4252.53"/>
    <n v="4265.75"/>
    <n v="3962.05"/>
    <n v="4629.96"/>
    <n v="4345.87"/>
    <n v="4153.3599999999997"/>
    <n v="0"/>
    <n v="0"/>
    <n v="0"/>
    <n v="0"/>
    <n v="0"/>
    <x v="0"/>
    <x v="8"/>
    <x v="8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172."/>
    <s v="5.ACTIVIDAD"/>
    <s v="5000037. BRINDAR ATENCION PRENATAL REENFOCADA"/>
    <s v="20. SALUD"/>
    <s v="044. SALUD INDIVIDUAL"/>
    <s v="0096. ATENCION MEDICA BASICA"/>
    <s v="00001"/>
    <s v="0033172. ATENCION PRENATAL REENFOCADA"/>
    <s v="00058 - GESTANTE CONTROLADA"/>
    <n v="3140"/>
    <n v="1570"/>
    <n v="1605"/>
    <n v="1605"/>
    <x v="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136741"/>
    <n v="12173"/>
    <n v="148914"/>
    <n v="104126.03"/>
    <n v="104126.03"/>
    <n v="14929"/>
    <n v="15029"/>
    <n v="14452.03"/>
    <n v="14929"/>
    <n v="14929"/>
    <n v="14929"/>
    <n v="14929"/>
    <n v="0"/>
    <n v="0"/>
    <n v="0"/>
    <n v="0"/>
    <n v="0"/>
    <n v="14929"/>
    <n v="15029"/>
    <n v="14452.03"/>
    <n v="14929"/>
    <n v="14929"/>
    <n v="14929"/>
    <n v="14929"/>
    <n v="0"/>
    <n v="0"/>
    <n v="0"/>
    <n v="0"/>
    <n v="0"/>
    <n v="13141.39"/>
    <n v="14433.82"/>
    <n v="14507.96"/>
    <n v="14438"/>
    <n v="15080.74"/>
    <n v="16762.400000000001"/>
    <n v="13157.53"/>
    <n v="0"/>
    <n v="0"/>
    <n v="0"/>
    <n v="0"/>
    <n v="0"/>
    <n v="13141.39"/>
    <n v="14396.39"/>
    <n v="14507.96"/>
    <n v="14475.43"/>
    <n v="15080.74"/>
    <n v="15818.94"/>
    <n v="13157.53"/>
    <n v="0"/>
    <n v="0"/>
    <n v="0"/>
    <n v="0"/>
    <n v="0"/>
    <x v="0"/>
    <x v="8"/>
    <x v="8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4."/>
    <s v="5.ACTIVIDAD"/>
    <s v="5000044. BRINDAR ATENCION A LA GESTANTE CON COMPLICACIONES"/>
    <s v="20. SALUD"/>
    <s v="044. SALUD INDIVIDUAL"/>
    <s v="0097. ATENCION MEDICA ESPECIALIZADA"/>
    <s v="00001"/>
    <s v="0033294. ATENCION DE LA GESTANTE CON COMPLICACIONES"/>
    <s v="00016 - CASO TRATADO"/>
    <n v="4100"/>
    <n v="2050"/>
    <n v="1830"/>
    <n v="1830"/>
    <x v="1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110996"/>
    <n v="0"/>
    <n v="110996"/>
    <n v="59682"/>
    <n v="59682"/>
    <n v="8526"/>
    <n v="8526"/>
    <n v="8526"/>
    <n v="8526"/>
    <n v="8526"/>
    <n v="8526"/>
    <n v="8526"/>
    <n v="0"/>
    <n v="0"/>
    <n v="0"/>
    <n v="0"/>
    <n v="0"/>
    <n v="8526"/>
    <n v="8526"/>
    <n v="8526"/>
    <n v="8526"/>
    <n v="8526"/>
    <n v="8526"/>
    <n v="8526"/>
    <n v="0"/>
    <n v="0"/>
    <n v="0"/>
    <n v="0"/>
    <n v="0"/>
    <n v="6166.57"/>
    <n v="8612.64"/>
    <n v="8302.67"/>
    <n v="8754.65"/>
    <n v="8451.98"/>
    <n v="2686.69"/>
    <n v="14429.1"/>
    <n v="0"/>
    <n v="0"/>
    <n v="0"/>
    <n v="0"/>
    <n v="0"/>
    <n v="6166.57"/>
    <n v="8612.64"/>
    <n v="8302.67"/>
    <n v="8754.65"/>
    <n v="8451.98"/>
    <n v="2686.69"/>
    <n v="14429.1"/>
    <n v="0"/>
    <n v="0"/>
    <n v="0"/>
    <n v="0"/>
    <n v="0"/>
    <x v="0"/>
    <x v="8"/>
    <x v="8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5."/>
    <s v="5.ACTIVIDAD"/>
    <s v="5000045. BRINDAR ATENCION DE PARTO NORMAL"/>
    <s v="20. SALUD"/>
    <s v="044. SALUD INDIVIDUAL"/>
    <s v="0096. ATENCION MEDICA BASICA"/>
    <s v="00001"/>
    <s v="0033295. ATENCION DEL PARTO NORMAL"/>
    <s v="00208 - PARTO NORMAL"/>
    <n v="1400"/>
    <n v="700"/>
    <n v="447"/>
    <n v="447"/>
    <x v="11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83164"/>
    <n v="-9427"/>
    <n v="73737"/>
    <n v="42127"/>
    <n v="42127"/>
    <n v="4195"/>
    <n v="6322"/>
    <n v="6322"/>
    <n v="6322"/>
    <n v="6322"/>
    <n v="6322"/>
    <n v="6322"/>
    <n v="0"/>
    <n v="0"/>
    <n v="0"/>
    <n v="0"/>
    <n v="0"/>
    <n v="4195"/>
    <n v="6322"/>
    <n v="6322"/>
    <n v="6322"/>
    <n v="6322"/>
    <n v="6322"/>
    <n v="6322"/>
    <n v="0"/>
    <n v="0"/>
    <n v="0"/>
    <n v="0"/>
    <n v="0"/>
    <n v="2513.7800000000002"/>
    <n v="6104.76"/>
    <n v="6414.28"/>
    <n v="5596.61"/>
    <n v="6907.48"/>
    <n v="6385.13"/>
    <n v="6272.47"/>
    <n v="0"/>
    <n v="0"/>
    <n v="0"/>
    <n v="0"/>
    <n v="0"/>
    <n v="2513.7800000000002"/>
    <n v="6049.89"/>
    <n v="6414.28"/>
    <n v="5651.48"/>
    <n v="6907.48"/>
    <n v="6385.13"/>
    <n v="6272.47"/>
    <n v="0"/>
    <n v="0"/>
    <n v="0"/>
    <n v="0"/>
    <n v="0"/>
    <x v="0"/>
    <x v="8"/>
    <x v="8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6."/>
    <s v="5.ACTIVIDAD"/>
    <s v="5000046. BRINDAR ATENCION DEL PARTO COMPLICADO NO QUIRURGICO"/>
    <s v="20. SALUD"/>
    <s v="044. SALUD INDIVIDUAL"/>
    <s v="0097. ATENCION MEDICA ESPECIALIZADA"/>
    <s v="00001"/>
    <s v="0033296. ATENCION DEL PARTO COMPLICADO NO QUIRURGICO"/>
    <s v="00209 - PARTO COMPLICADO"/>
    <n v="1420"/>
    <n v="710"/>
    <n v="443"/>
    <n v="443"/>
    <x v="1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8"/>
    <x v="8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7."/>
    <s v="5.ACTIVIDAD"/>
    <s v="5000047. BRINDAR ATENCION DEL PARTO COMPLICADO QUIRURGICO"/>
    <s v="20. SALUD"/>
    <s v="044. SALUD INDIVIDUAL"/>
    <s v="0097. ATENCION MEDICA ESPECIALIZADA"/>
    <s v="00001"/>
    <s v="0033297. ATENCION DEL PARTO COMPLICADO QUIRURGICO"/>
    <s v="00210 - CESAREA"/>
    <n v="1550"/>
    <n v="775"/>
    <n v="747"/>
    <n v="747"/>
    <x v="1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212088"/>
    <n v="21242"/>
    <n v="233330"/>
    <n v="163331"/>
    <n v="163331"/>
    <n v="23333"/>
    <n v="23333"/>
    <n v="23333"/>
    <n v="23333"/>
    <n v="23333"/>
    <n v="23333"/>
    <n v="23333"/>
    <n v="0"/>
    <n v="0"/>
    <n v="0"/>
    <n v="0"/>
    <n v="0"/>
    <n v="23333"/>
    <n v="23333"/>
    <n v="23333"/>
    <n v="23333"/>
    <n v="23333"/>
    <n v="23333"/>
    <n v="23333"/>
    <n v="0"/>
    <n v="0"/>
    <n v="0"/>
    <n v="0"/>
    <n v="0"/>
    <n v="15855.31"/>
    <n v="22932.78"/>
    <n v="24129.81"/>
    <n v="21282.74"/>
    <n v="24090.77"/>
    <n v="26052.9"/>
    <n v="21859.45"/>
    <n v="0"/>
    <n v="0"/>
    <n v="0"/>
    <n v="0"/>
    <n v="0"/>
    <n v="15855.31"/>
    <n v="22665.85"/>
    <n v="24129.81"/>
    <n v="21549.67"/>
    <n v="24090.77"/>
    <n v="26052.9"/>
    <n v="21859.45"/>
    <n v="0"/>
    <n v="0"/>
    <n v="0"/>
    <n v="0"/>
    <n v="0"/>
    <x v="0"/>
    <x v="8"/>
    <x v="8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8."/>
    <s v="5.ACTIVIDAD"/>
    <s v="5000048. ATENDER EL PUERPERIO"/>
    <s v="20. SALUD"/>
    <s v="044. SALUD INDIVIDUAL"/>
    <s v="0096. ATENCION MEDICA BASICA"/>
    <s v="00001"/>
    <s v="0033298. ATENCION DEL PUERPERIO"/>
    <s v="00628 - DELITO ATENDIDO"/>
    <n v="150"/>
    <n v="75"/>
    <n v="15"/>
    <n v="15"/>
    <x v="14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121716"/>
    <n v="0"/>
    <n v="121716"/>
    <n v="45430.26"/>
    <n v="45430.26"/>
    <n v="16058.26"/>
    <n v="14686"/>
    <n v="14686"/>
    <n v="0"/>
    <n v="0"/>
    <n v="0"/>
    <n v="0"/>
    <n v="0"/>
    <n v="0"/>
    <n v="0"/>
    <n v="0"/>
    <n v="0"/>
    <n v="16058.26"/>
    <n v="14686"/>
    <n v="14686"/>
    <n v="0"/>
    <n v="0"/>
    <n v="0"/>
    <n v="0"/>
    <n v="0"/>
    <n v="0"/>
    <n v="0"/>
    <n v="0"/>
    <n v="0"/>
    <n v="8140.35"/>
    <n v="16466.7"/>
    <n v="15227.39"/>
    <n v="4596.66"/>
    <n v="999.16"/>
    <n v="0"/>
    <n v="0"/>
    <n v="0"/>
    <n v="0"/>
    <n v="0"/>
    <n v="0"/>
    <n v="0"/>
    <n v="8140.35"/>
    <n v="16284.8"/>
    <n v="15227.39"/>
    <n v="4778.5600000000004"/>
    <n v="999.16"/>
    <n v="0"/>
    <n v="0"/>
    <n v="0"/>
    <n v="0"/>
    <n v="0"/>
    <n v="0"/>
    <n v="0"/>
    <x v="0"/>
    <x v="8"/>
    <x v="8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9."/>
    <s v="5.ACTIVIDAD"/>
    <s v="5000049. ATENDER EL PUERPERIO CON COMPLICACIONES"/>
    <s v="20. SALUD"/>
    <s v="044. SALUD INDIVIDUAL"/>
    <s v="0097. ATENCION MEDICA ESPECIALIZADA"/>
    <s v="00001"/>
    <s v="0033299. ATENCION DEL PUERPERIO CON COMPLICACIONES"/>
    <s v="00016 - CASO TRATADO"/>
    <n v="240"/>
    <n v="120"/>
    <n v="94"/>
    <n v="94"/>
    <x v="15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33991"/>
    <n v="0"/>
    <n v="33991"/>
    <n v="14889"/>
    <n v="14889"/>
    <n v="2127"/>
    <n v="2127"/>
    <n v="2127"/>
    <n v="2127"/>
    <n v="2127"/>
    <n v="2127"/>
    <n v="2127"/>
    <n v="0"/>
    <n v="0"/>
    <n v="0"/>
    <n v="0"/>
    <n v="0"/>
    <n v="2127"/>
    <n v="2127"/>
    <n v="2127"/>
    <n v="2127"/>
    <n v="2127"/>
    <n v="2127"/>
    <n v="2127"/>
    <n v="0"/>
    <n v="0"/>
    <n v="0"/>
    <n v="0"/>
    <n v="0"/>
    <n v="751.44"/>
    <n v="2127"/>
    <n v="2127"/>
    <n v="1863.56"/>
    <n v="2390.4499999999998"/>
    <n v="2478.5500000000002"/>
    <n v="1775.44"/>
    <n v="0"/>
    <n v="0"/>
    <n v="0"/>
    <n v="0"/>
    <n v="0"/>
    <n v="751.44"/>
    <n v="2127"/>
    <n v="2127"/>
    <n v="1863.56"/>
    <n v="2390.4499999999998"/>
    <n v="2478.5500000000002"/>
    <n v="1775.44"/>
    <n v="0"/>
    <n v="0"/>
    <n v="0"/>
    <n v="0"/>
    <n v="0"/>
    <x v="0"/>
    <x v="8"/>
    <x v="8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0."/>
    <s v="5.ACTIVIDAD"/>
    <s v="5000050. ATENDER COMPLICACIONES OBSTETRICAS EN UNIDAD DE CUIDADOS INTENSIVOS"/>
    <s v="20. SALUD"/>
    <s v="044. SALUD INDIVIDUAL"/>
    <s v="0097. ATENCION MEDICA ESPECIALIZADA"/>
    <s v="00001"/>
    <s v="0033300. ATENCION OBSTETRICA EN UNIDAD DE CUIDADOS INTENSIVOS"/>
    <s v="00016 - CASO TRATADO"/>
    <n v="68"/>
    <n v="34"/>
    <n v="16"/>
    <n v="16"/>
    <x v="16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126960"/>
    <n v="44600"/>
    <n v="171560"/>
    <n v="120092"/>
    <n v="120092"/>
    <n v="17156"/>
    <n v="17156"/>
    <n v="17156"/>
    <n v="17156"/>
    <n v="17156"/>
    <n v="17156"/>
    <n v="17156"/>
    <n v="0"/>
    <n v="0"/>
    <n v="0"/>
    <n v="0"/>
    <n v="0"/>
    <n v="17156"/>
    <n v="17156"/>
    <n v="17156"/>
    <n v="17156"/>
    <n v="17156"/>
    <n v="17156"/>
    <n v="17156"/>
    <n v="0"/>
    <n v="0"/>
    <n v="0"/>
    <n v="0"/>
    <n v="0"/>
    <n v="12978.6"/>
    <n v="17612.91"/>
    <n v="17418.62"/>
    <n v="15184.94"/>
    <n v="16967.53"/>
    <n v="20177.91"/>
    <n v="14395.5"/>
    <n v="0"/>
    <n v="0"/>
    <n v="0"/>
    <n v="0"/>
    <n v="0"/>
    <n v="12978.6"/>
    <n v="16987.64"/>
    <n v="17418.62"/>
    <n v="15810.21"/>
    <n v="16967.53"/>
    <n v="20177.91"/>
    <n v="14395.5"/>
    <n v="0"/>
    <n v="0"/>
    <n v="0"/>
    <n v="0"/>
    <n v="0"/>
    <x v="0"/>
    <x v="8"/>
    <x v="8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5."/>
    <s v="5.ACTIVIDAD"/>
    <s v="5000053. ATENDER AL RECIEN NACIDO NORMAL"/>
    <s v="20. SALUD"/>
    <s v="044. SALUD INDIVIDUAL"/>
    <s v="0096. ATENCION MEDICA BASICA"/>
    <s v="00001"/>
    <s v="0033305. ATENCION DEL RECIEN NACIDO NORMAL"/>
    <s v="00239 - RECIEN NACIDO ATENDIDO"/>
    <n v="7546"/>
    <n v="3773"/>
    <n v="2820"/>
    <n v="2820"/>
    <x v="1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85292"/>
    <n v="18700"/>
    <n v="103992"/>
    <n v="60662"/>
    <n v="60662"/>
    <n v="8666"/>
    <n v="8666"/>
    <n v="8666"/>
    <n v="8666"/>
    <n v="8666"/>
    <n v="8666"/>
    <n v="8666"/>
    <n v="0"/>
    <n v="0"/>
    <n v="0"/>
    <n v="0"/>
    <n v="0"/>
    <n v="8666"/>
    <n v="8666"/>
    <n v="8666"/>
    <n v="8666"/>
    <n v="8666"/>
    <n v="8666"/>
    <n v="8666"/>
    <n v="0"/>
    <n v="0"/>
    <n v="0"/>
    <n v="0"/>
    <n v="0"/>
    <n v="6866.2"/>
    <n v="8437"/>
    <n v="8819.66"/>
    <n v="8659.5"/>
    <n v="8719.5499999999993"/>
    <n v="9727.49"/>
    <n v="7386.49"/>
    <n v="0"/>
    <n v="0"/>
    <n v="0"/>
    <n v="0"/>
    <n v="0"/>
    <n v="6866.2"/>
    <n v="8372.84"/>
    <n v="8819.66"/>
    <n v="8723.66"/>
    <n v="8719.5499999999993"/>
    <n v="9727.49"/>
    <n v="7386.49"/>
    <n v="0"/>
    <n v="0"/>
    <n v="0"/>
    <n v="0"/>
    <n v="0"/>
    <x v="0"/>
    <x v="8"/>
    <x v="8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6."/>
    <s v="5.ACTIVIDAD"/>
    <s v="5000054. ATENDER AL RECIEN NACIDO CON COMPLICACIONES"/>
    <s v="20. SALUD"/>
    <s v="044. SALUD INDIVIDUAL"/>
    <s v="0097. ATENCION MEDICA ESPECIALIZADA"/>
    <s v="00001"/>
    <s v="0033306. ATENCION DEL RECIEN NACIDO CON COMPLICACIONES"/>
    <s v="00016 - CASO TRATADO"/>
    <n v="2469"/>
    <n v="1234"/>
    <n v="728"/>
    <n v="728"/>
    <x v="1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129238"/>
    <n v="0"/>
    <n v="129238"/>
    <n v="74158.98"/>
    <n v="74158.98"/>
    <n v="10576"/>
    <n v="10576"/>
    <n v="10576"/>
    <n v="10576"/>
    <n v="10702.98"/>
    <n v="10576"/>
    <n v="10576"/>
    <n v="0"/>
    <n v="0"/>
    <n v="0"/>
    <n v="0"/>
    <n v="0"/>
    <n v="10576"/>
    <n v="10576"/>
    <n v="10576"/>
    <n v="10576"/>
    <n v="10702.98"/>
    <n v="10576"/>
    <n v="10576"/>
    <n v="0"/>
    <n v="0"/>
    <n v="0"/>
    <n v="0"/>
    <n v="0"/>
    <n v="7773.67"/>
    <n v="10573.1"/>
    <n v="10173.52"/>
    <n v="10266.24"/>
    <n v="11164.3"/>
    <n v="11030.59"/>
    <n v="10175.17"/>
    <n v="0"/>
    <n v="0"/>
    <n v="0"/>
    <n v="0"/>
    <n v="0"/>
    <n v="7773.67"/>
    <n v="10473.959999999999"/>
    <n v="10173.52"/>
    <n v="10365.379999999999"/>
    <n v="11164.3"/>
    <n v="11030.59"/>
    <n v="10175.17"/>
    <n v="0"/>
    <n v="0"/>
    <n v="0"/>
    <n v="0"/>
    <n v="0"/>
    <x v="0"/>
    <x v="8"/>
    <x v="8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12."/>
    <s v="5.ACTIVIDAD"/>
    <s v="5004436. DESPISTAJE DE TUBERCULOSIS EN SINTOMATICOS RESPIRATORIOS"/>
    <s v="20. SALUD"/>
    <s v="044. SALUD INDIVIDUAL"/>
    <s v="0096. ATENCION MEDICA BASICA"/>
    <s v="00001"/>
    <s v="0043962. DESPISTAJE DE TUBERCULOSIS EN SINTOMATICOS RESPIRATORIOS"/>
    <s v="00087 - PERSONA ATENDIDA"/>
    <n v="3212"/>
    <n v="1606"/>
    <n v="647.70000000000005"/>
    <n v="647.70000000000005"/>
    <x v="4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8"/>
    <x v="8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14."/>
    <s v="5.ACTIVIDAD"/>
    <s v="5004438. DIAGNOSTICO DE CASOS DE TUBERCULOSIS"/>
    <s v="20. SALUD"/>
    <s v="044. SALUD INDIVIDUAL"/>
    <s v="0096. ATENCION MEDICA BASICA"/>
    <s v="00001"/>
    <s v="0043964. DIAGNOSTICO DE CASOS DE TUBERCULOSIS"/>
    <s v="00393 - TASA"/>
    <n v="140"/>
    <n v="70"/>
    <n v="48"/>
    <n v="48"/>
    <x v="2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18612"/>
    <n v="2068"/>
    <n v="20680"/>
    <n v="14476"/>
    <n v="14476"/>
    <n v="2068"/>
    <n v="2068"/>
    <n v="2068"/>
    <n v="2068"/>
    <n v="2068"/>
    <n v="2068"/>
    <n v="2068"/>
    <n v="0"/>
    <n v="0"/>
    <n v="0"/>
    <n v="0"/>
    <n v="0"/>
    <n v="2068"/>
    <n v="2068"/>
    <n v="2068"/>
    <n v="2068"/>
    <n v="2068"/>
    <n v="2068"/>
    <n v="2068"/>
    <n v="0"/>
    <n v="0"/>
    <n v="0"/>
    <n v="0"/>
    <n v="0"/>
    <n v="724.52"/>
    <n v="2135.98"/>
    <n v="2197.16"/>
    <n v="2038.27"/>
    <n v="2076"/>
    <n v="2083.13"/>
    <n v="2073.4699999999998"/>
    <n v="0"/>
    <n v="0"/>
    <n v="0"/>
    <n v="0"/>
    <n v="0"/>
    <n v="724.52"/>
    <n v="2135.98"/>
    <n v="2197.16"/>
    <n v="2038.27"/>
    <n v="2076"/>
    <n v="2083.13"/>
    <n v="2073.4699999999998"/>
    <n v="0"/>
    <n v="0"/>
    <n v="0"/>
    <n v="0"/>
    <n v="0"/>
    <x v="0"/>
    <x v="8"/>
    <x v="8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2."/>
    <s v="5.ACTIVIDAD"/>
    <s v="5000110. BRINDAR TRATAMIENTO A PACIENTES CON DIAGNOSTICO DE CATARATAS"/>
    <s v="20. SALUD"/>
    <s v="044. SALUD INDIVIDUAL"/>
    <s v="0097. ATENCION MEDICA ESPECIALIZADA"/>
    <s v="00001"/>
    <s v="0135994. BRINDAR TRATAMIENTO A PACIENTES CON DIAGNOSTICO DE CATARATAS"/>
    <s v="00394 - TECNICO"/>
    <n v="648"/>
    <n v="324"/>
    <n v="141"/>
    <n v="141"/>
    <x v="2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25068"/>
    <n v="0"/>
    <n v="25068"/>
    <n v="15015"/>
    <n v="15015"/>
    <n v="2145"/>
    <n v="2145"/>
    <n v="2145"/>
    <n v="2145"/>
    <n v="2145"/>
    <n v="2145"/>
    <n v="2145"/>
    <n v="0"/>
    <n v="0"/>
    <n v="0"/>
    <n v="0"/>
    <n v="0"/>
    <n v="2145"/>
    <n v="2145"/>
    <n v="2145"/>
    <n v="2145"/>
    <n v="2145"/>
    <n v="2145"/>
    <n v="2145"/>
    <n v="0"/>
    <n v="0"/>
    <n v="0"/>
    <n v="0"/>
    <n v="0"/>
    <n v="1834.17"/>
    <n v="2176.0100000000002"/>
    <n v="2127.6799999999998"/>
    <n v="2125.64"/>
    <n v="2135.3000000000002"/>
    <n v="2255.7199999999998"/>
    <n v="2141.0500000000002"/>
    <n v="0"/>
    <n v="0"/>
    <n v="0"/>
    <n v="0"/>
    <n v="0"/>
    <n v="1834.17"/>
    <n v="2176.0100000000002"/>
    <n v="2127.6799999999998"/>
    <n v="2125.64"/>
    <n v="2135.3000000000002"/>
    <n v="2255.7199999999998"/>
    <n v="2141.0500000000002"/>
    <n v="0"/>
    <n v="0"/>
    <n v="0"/>
    <n v="0"/>
    <n v="0"/>
    <x v="0"/>
    <x v="8"/>
    <x v="8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6."/>
    <s v="5.ACTIVIDAD"/>
    <s v="5000114. BRINDAR TRATAMIENTO A PERSONAS CON DIAGNOSTICO DE HIPERTENSION ARTERIAL"/>
    <s v="20. SALUD"/>
    <s v="044. SALUD INDIVIDUAL"/>
    <s v="0097. ATENCION MEDICA ESPECIALIZADA"/>
    <s v="00001"/>
    <s v="0135998. BRINDAR TRATAMIENTO A PERSONAS CON DIAGNOSTICO DE HIPERTENSION ARTERIAL"/>
    <s v="00394 - TECNICO"/>
    <n v="771"/>
    <n v="385"/>
    <n v="382"/>
    <n v="382"/>
    <x v="2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19305"/>
    <n v="0"/>
    <n v="19305"/>
    <n v="15015"/>
    <n v="15015"/>
    <n v="2145"/>
    <n v="2145"/>
    <n v="2145"/>
    <n v="2145"/>
    <n v="2145"/>
    <n v="2145"/>
    <n v="2145"/>
    <n v="0"/>
    <n v="0"/>
    <n v="0"/>
    <n v="0"/>
    <n v="0"/>
    <n v="2145"/>
    <n v="2145"/>
    <n v="2145"/>
    <n v="2145"/>
    <n v="2145"/>
    <n v="2145"/>
    <n v="2145"/>
    <n v="0"/>
    <n v="0"/>
    <n v="0"/>
    <n v="0"/>
    <n v="0"/>
    <n v="1724.43"/>
    <n v="2145"/>
    <n v="2170.4899999999998"/>
    <n v="2119.5100000000002"/>
    <n v="2145"/>
    <n v="2523.92"/>
    <n v="1766.08"/>
    <n v="0"/>
    <n v="0"/>
    <n v="0"/>
    <n v="0"/>
    <n v="0"/>
    <n v="1724.43"/>
    <n v="2145"/>
    <n v="2170.4899999999998"/>
    <n v="2119.5100000000002"/>
    <n v="2145"/>
    <n v="2523.92"/>
    <n v="1766.08"/>
    <n v="0"/>
    <n v="0"/>
    <n v="0"/>
    <n v="0"/>
    <n v="0"/>
    <x v="0"/>
    <x v="8"/>
    <x v="8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65."/>
    <s v="5.ACTIVIDAD"/>
    <s v="5006012. DIAGNOSTICO DEL CANCER DE CUELLO UTERINO"/>
    <s v="20. SALUD"/>
    <s v="044. SALUD INDIVIDUAL"/>
    <s v="0097. ATENCION MEDICA ESPECIALIZADA"/>
    <s v="00001"/>
    <s v="0215085. DIAGNOSTICO DEL CANCER DE CUELLO UTERINO"/>
    <s v="00393 - TASA"/>
    <n v="128"/>
    <n v="64"/>
    <n v="17"/>
    <n v="17"/>
    <x v="25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48928"/>
    <n v="-18898"/>
    <n v="30030"/>
    <n v="30030"/>
    <n v="30030"/>
    <n v="30030"/>
    <n v="0"/>
    <n v="0"/>
    <n v="0"/>
    <n v="0"/>
    <n v="0"/>
    <n v="0"/>
    <n v="0"/>
    <n v="0"/>
    <n v="0"/>
    <n v="0"/>
    <n v="0"/>
    <n v="30030"/>
    <n v="0"/>
    <n v="0"/>
    <n v="0"/>
    <n v="0"/>
    <n v="0"/>
    <n v="0"/>
    <n v="0"/>
    <n v="0"/>
    <n v="0"/>
    <n v="0"/>
    <n v="0"/>
    <n v="21177.81"/>
    <n v="8852.19"/>
    <n v="0"/>
    <n v="-182.4"/>
    <n v="182.4"/>
    <n v="0"/>
    <n v="0"/>
    <n v="0"/>
    <n v="0"/>
    <n v="0"/>
    <n v="0"/>
    <n v="0"/>
    <n v="21177.81"/>
    <n v="8669.7900000000009"/>
    <n v="0"/>
    <n v="0"/>
    <n v="182.4"/>
    <n v="0"/>
    <n v="0"/>
    <n v="0"/>
    <n v="0"/>
    <n v="0"/>
    <n v="0"/>
    <n v="0"/>
    <x v="0"/>
    <x v="8"/>
    <x v="8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734."/>
    <s v="5.ACTIVIDAD"/>
    <s v="5005612. DESARROLLO DE LOS CENTROS Y ESPACIOS DE MONITOREO DE EMERGENCIAS Y DESASTRES"/>
    <s v="20. SALUD"/>
    <s v="016. GESTION DE RIESGOS Y EMERGENCIAS"/>
    <s v="0036. ATENCION INMEDIATA DE DESASTRES"/>
    <s v="00001"/>
    <s v="0160879. DESARROLLO DE LOS CENTROS Y ESPACIOS DE MONITOREO DE EMERGENCIAS Y DESASTRES"/>
    <s v="00248 - REPORTE"/>
    <n v="12"/>
    <n v="6"/>
    <n v="6"/>
    <n v="6"/>
    <x v="26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26180"/>
    <n v="0"/>
    <n v="261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8"/>
    <x v="8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2824. ATENCION AMBULATORIA DE URGENCIAS (PRIORIDAD III O IV) EN MODULOS HOSPITALARIOS DIFERENCIADOS AUTORIZADOS"/>
    <s v="20. SALUD"/>
    <s v="044. SALUD INDIVIDUAL"/>
    <s v="0096. ATENCION MEDICA BASICA"/>
    <s v="00001"/>
    <s v="0076144. ATENCION AMBULATORIA DE URGENCIAS (PRIORIDAD III O IV) EN MODULOS HOSPITALARIOS DIFERENCIADOS AUTORIZADOS"/>
    <s v="00006 - ATENCION"/>
    <n v="2000"/>
    <n v="1000"/>
    <n v="1994"/>
    <n v="1994"/>
    <x v="2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284841"/>
    <n v="-63946"/>
    <n v="220895"/>
    <n v="106396.03"/>
    <n v="106396.03"/>
    <n v="6381"/>
    <n v="36411"/>
    <n v="36411"/>
    <n v="6381"/>
    <n v="8050.03"/>
    <n v="6381"/>
    <n v="6381"/>
    <n v="0"/>
    <n v="0"/>
    <n v="0"/>
    <n v="0"/>
    <n v="0"/>
    <n v="6381"/>
    <n v="36411"/>
    <n v="36411"/>
    <n v="6381"/>
    <n v="8050.03"/>
    <n v="6381"/>
    <n v="6381"/>
    <n v="0"/>
    <n v="0"/>
    <n v="0"/>
    <n v="0"/>
    <n v="0"/>
    <n v="4842.03"/>
    <n v="27444.74"/>
    <n v="37185.68"/>
    <n v="14637.98"/>
    <n v="8623.15"/>
    <n v="6666.6"/>
    <n v="5643.24"/>
    <n v="0"/>
    <n v="0"/>
    <n v="0"/>
    <n v="0"/>
    <n v="0"/>
    <n v="4842.03"/>
    <n v="27444.74"/>
    <n v="37185.68"/>
    <n v="14637.98"/>
    <n v="8623.15"/>
    <n v="6666.6"/>
    <n v="5643.24"/>
    <n v="0"/>
    <n v="0"/>
    <n v="0"/>
    <n v="0"/>
    <n v="0"/>
    <x v="0"/>
    <x v="8"/>
    <x v="8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3. ATENCION DE LA EMERGENCIA Y URGENCIA ESPECIALIZADA"/>
    <s v="20. SALUD"/>
    <s v="044. SALUD INDIVIDUAL"/>
    <s v="0097. ATENCION MEDICA ESPECIALIZADA"/>
    <s v="00001"/>
    <s v="0188299. ATENCION DE LA EMERGENCIA Y URGENCIA ESPECIALIZADA"/>
    <s v="00006 - ATENCION"/>
    <n v="25000"/>
    <n v="12500"/>
    <n v="7470"/>
    <n v="7470"/>
    <x v="2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438532"/>
    <n v="68737"/>
    <n v="507269"/>
    <n v="388834.82"/>
    <n v="388834.82"/>
    <n v="48726"/>
    <n v="48726"/>
    <n v="48726"/>
    <n v="61326"/>
    <n v="61701.71"/>
    <n v="60412.11"/>
    <n v="59217"/>
    <n v="0"/>
    <n v="0"/>
    <n v="0"/>
    <n v="0"/>
    <n v="0"/>
    <n v="48726"/>
    <n v="48726"/>
    <n v="48726"/>
    <n v="61326"/>
    <n v="61701.71"/>
    <n v="60412.11"/>
    <n v="59217"/>
    <n v="0"/>
    <n v="0"/>
    <n v="0"/>
    <n v="0"/>
    <n v="0"/>
    <n v="36534.74"/>
    <n v="48086.65"/>
    <n v="50405.11"/>
    <n v="56106.77"/>
    <n v="60817.4"/>
    <n v="66365.64"/>
    <n v="54634.26"/>
    <n v="0"/>
    <n v="0"/>
    <n v="0"/>
    <n v="0"/>
    <n v="0"/>
    <n v="36534.74"/>
    <n v="47896.84"/>
    <n v="49871.14"/>
    <n v="56296.58"/>
    <n v="60817.4"/>
    <n v="66365.64"/>
    <n v="54634.26"/>
    <n v="0"/>
    <n v="0"/>
    <n v="0"/>
    <n v="0"/>
    <n v="0"/>
    <x v="0"/>
    <x v="8"/>
    <x v="8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4. ATENCION DE LA EMERGENCIA DE CUIDADOS INTENSIVOS"/>
    <s v="20. SALUD"/>
    <s v="044. SALUD INDIVIDUAL"/>
    <s v="0097. ATENCION MEDICA ESPECIALIZADA"/>
    <s v="00001"/>
    <s v="0188300. ATENCION DE LA EMERGENCIA DE CUIDADOS INTENSIVOS"/>
    <s v="00006 - ATENCION"/>
    <n v="400"/>
    <n v="200"/>
    <n v="128"/>
    <n v="128"/>
    <x v="2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89796"/>
    <n v="45422"/>
    <n v="135218"/>
    <n v="101457.32"/>
    <n v="101457.32"/>
    <n v="16880"/>
    <n v="16880"/>
    <n v="16880"/>
    <n v="16880"/>
    <n v="17057.32"/>
    <n v="0"/>
    <n v="16880"/>
    <n v="0"/>
    <n v="0"/>
    <n v="0"/>
    <n v="0"/>
    <n v="0"/>
    <n v="16880"/>
    <n v="16880"/>
    <n v="16880"/>
    <n v="16880"/>
    <n v="17057.32"/>
    <n v="0"/>
    <n v="16880"/>
    <n v="0"/>
    <n v="0"/>
    <n v="0"/>
    <n v="0"/>
    <n v="0"/>
    <n v="11081.44"/>
    <n v="16079.24"/>
    <n v="17014.21"/>
    <n v="15305.86"/>
    <n v="19116.82"/>
    <n v="5154.1400000000003"/>
    <n v="11118.84"/>
    <n v="0"/>
    <n v="0"/>
    <n v="0"/>
    <n v="0"/>
    <n v="0"/>
    <n v="11081.44"/>
    <n v="15926.08"/>
    <n v="17014.21"/>
    <n v="15459.02"/>
    <n v="19116.82"/>
    <n v="5154.1400000000003"/>
    <n v="11118.84"/>
    <n v="0"/>
    <n v="0"/>
    <n v="0"/>
    <n v="0"/>
    <n v="0"/>
    <x v="0"/>
    <x v="8"/>
    <x v="8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5. ATENCION DE LA EMERGENCIA QUIRURGICA"/>
    <s v="20. SALUD"/>
    <s v="044. SALUD INDIVIDUAL"/>
    <s v="0097. ATENCION MEDICA ESPECIALIZADA"/>
    <s v="00001"/>
    <s v="0188301. ATENCION DE LA EMERGENCIA QUIRURGICA"/>
    <s v="00006 - ATENCION"/>
    <n v="3000"/>
    <n v="1500"/>
    <n v="1405"/>
    <n v="1405"/>
    <x v="3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453811"/>
    <n v="200160"/>
    <n v="653971"/>
    <n v="484024.83"/>
    <n v="484024.83"/>
    <n v="49010"/>
    <n v="49010"/>
    <n v="49010"/>
    <n v="79040"/>
    <n v="79441.83"/>
    <n v="93540"/>
    <n v="84973"/>
    <n v="0"/>
    <n v="0"/>
    <n v="0"/>
    <n v="0"/>
    <n v="0"/>
    <n v="49010"/>
    <n v="49010"/>
    <n v="49010"/>
    <n v="79040"/>
    <n v="79441.83"/>
    <n v="93540"/>
    <n v="84973"/>
    <n v="0"/>
    <n v="0"/>
    <n v="0"/>
    <n v="0"/>
    <n v="0"/>
    <n v="34925.9"/>
    <n v="48468.17"/>
    <n v="50157.5"/>
    <n v="68183.039999999994"/>
    <n v="80267.179999999993"/>
    <n v="99104.53"/>
    <n v="79266.25"/>
    <n v="0"/>
    <n v="0"/>
    <n v="0"/>
    <n v="0"/>
    <n v="0"/>
    <n v="34925.9"/>
    <n v="47963.24"/>
    <n v="50157.5"/>
    <n v="68687.97"/>
    <n v="80267.179999999993"/>
    <n v="99104.53"/>
    <n v="79266.25"/>
    <n v="0"/>
    <n v="0"/>
    <n v="0"/>
    <n v="0"/>
    <n v="0"/>
    <x v="0"/>
    <x v="8"/>
    <x v="8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0"/>
    <s v=" ."/>
    <s v="3000688."/>
    <s v="5.ACTIVIDAD"/>
    <s v="5004449. CAPACITACION EN MEDICINA DE REHABILITACION"/>
    <s v="20. SALUD"/>
    <s v="044. SALUD INDIVIDUAL"/>
    <s v="0097. ATENCION MEDICA ESPECIALIZADA"/>
    <s v="00001"/>
    <s v="0136018. CAPACITACION EN MEDICINA DE REHABILITACION"/>
    <s v="00088 - PERSONA CAPACITADA"/>
    <n v="60"/>
    <n v="30"/>
    <n v="0"/>
    <n v="0"/>
    <x v="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24864"/>
    <n v="0"/>
    <n v="24864"/>
    <n v="14889"/>
    <n v="14889"/>
    <n v="2127"/>
    <n v="2127"/>
    <n v="2127"/>
    <n v="2127"/>
    <n v="2127"/>
    <n v="2127"/>
    <n v="2127"/>
    <n v="0"/>
    <n v="0"/>
    <n v="0"/>
    <n v="0"/>
    <n v="0"/>
    <n v="2127"/>
    <n v="2127"/>
    <n v="2127"/>
    <n v="2127"/>
    <n v="2127"/>
    <n v="2127"/>
    <n v="2127"/>
    <n v="0"/>
    <n v="0"/>
    <n v="0"/>
    <n v="0"/>
    <n v="0"/>
    <n v="1922.7"/>
    <n v="2127"/>
    <n v="2127"/>
    <n v="2127"/>
    <n v="2127"/>
    <n v="2294.3000000000002"/>
    <n v="1959.7"/>
    <n v="0"/>
    <n v="0"/>
    <n v="0"/>
    <n v="0"/>
    <n v="0"/>
    <n v="1922.7"/>
    <n v="2127"/>
    <n v="2127"/>
    <n v="2127"/>
    <n v="2127"/>
    <n v="2294.3000000000002"/>
    <n v="1959.7"/>
    <n v="0"/>
    <n v="0"/>
    <n v="0"/>
    <n v="0"/>
    <n v="0"/>
    <x v="0"/>
    <x v="8"/>
    <x v="8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8973"/>
    <n v="0"/>
    <n v="89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8"/>
    <x v="8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5. GESTION DE RECURSOS HUMANOS"/>
    <s v="20. SALUD"/>
    <s v="006. GESTION"/>
    <s v="0011. PREPARACION Y PERFECCIONAMIENTO DE RECURSOS HUMANOS"/>
    <s v="00001"/>
    <s v="0053571. GESTION DE RECURSOS HUMANOS"/>
    <s v="00001 - ACCION"/>
    <n v="2426"/>
    <n v="1213"/>
    <n v="124"/>
    <n v="124"/>
    <x v="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150743"/>
    <n v="-1507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8"/>
    <x v="8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377. MEJORAMIENTO DE LA OFERTA DE LOS SERVICIOS DE SALUD"/>
    <s v="20. SALUD"/>
    <s v="044. SALUD INDIVIDUAL"/>
    <s v="0097. ATENCION MEDICA ESPECIALIZADA"/>
    <s v="00001"/>
    <s v="0006831. MEJORAR LA ATENCION A LA POBLACION"/>
    <s v="00006 - ATENCION"/>
    <n v="2400"/>
    <n v="1200"/>
    <n v="940"/>
    <n v="940"/>
    <x v="3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197825"/>
    <n v="0"/>
    <n v="197825"/>
    <n v="103229.65"/>
    <n v="103229.65"/>
    <n v="14731"/>
    <n v="14731"/>
    <n v="14731"/>
    <n v="14731"/>
    <n v="14843.65"/>
    <n v="14731"/>
    <n v="14731"/>
    <n v="0"/>
    <n v="0"/>
    <n v="0"/>
    <n v="0"/>
    <n v="0"/>
    <n v="14731"/>
    <n v="14731"/>
    <n v="14731"/>
    <n v="14731"/>
    <n v="14843.65"/>
    <n v="14731"/>
    <n v="14731"/>
    <n v="0"/>
    <n v="0"/>
    <n v="0"/>
    <n v="0"/>
    <n v="0"/>
    <n v="11441.8"/>
    <n v="14934.97"/>
    <n v="14862.15"/>
    <n v="14146.55"/>
    <n v="15304.55"/>
    <n v="15870.06"/>
    <n v="13873.99"/>
    <n v="0"/>
    <n v="0"/>
    <n v="0"/>
    <n v="0"/>
    <n v="0"/>
    <n v="11441.8"/>
    <n v="14877.82"/>
    <n v="14862.15"/>
    <n v="14203.7"/>
    <n v="15304.55"/>
    <n v="15870.06"/>
    <n v="13873.99"/>
    <n v="0"/>
    <n v="0"/>
    <n v="0"/>
    <n v="0"/>
    <n v="0"/>
    <x v="0"/>
    <x v="8"/>
    <x v="8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00. ATENCION BASICA DE SALUD"/>
    <s v="20. SALUD"/>
    <s v="044. SALUD INDIVIDUAL"/>
    <s v="0096. ATENCION MEDICA BASICA"/>
    <s v="00001"/>
    <s v="0000251. ATENCION BASICA"/>
    <s v="00006 - ATENCION"/>
    <n v="200000"/>
    <n v="100000"/>
    <n v="78000"/>
    <n v="78000"/>
    <x v="3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469286"/>
    <n v="0"/>
    <n v="469286"/>
    <n v="52950.09"/>
    <n v="52950.09"/>
    <n v="6363"/>
    <n v="6363"/>
    <n v="6363"/>
    <n v="8449"/>
    <n v="8514.09"/>
    <n v="8449"/>
    <n v="8449"/>
    <n v="0"/>
    <n v="0"/>
    <n v="0"/>
    <n v="0"/>
    <n v="0"/>
    <n v="6363"/>
    <n v="6363"/>
    <n v="6363"/>
    <n v="8449"/>
    <n v="8514.09"/>
    <n v="8449"/>
    <n v="8449"/>
    <n v="0"/>
    <n v="0"/>
    <n v="0"/>
    <n v="0"/>
    <n v="0"/>
    <n v="5617.08"/>
    <n v="6361.13"/>
    <n v="6448.57"/>
    <n v="7714.49"/>
    <n v="8506.16"/>
    <n v="9191.08"/>
    <n v="7819.55"/>
    <n v="0"/>
    <n v="0"/>
    <n v="0"/>
    <n v="0"/>
    <n v="0"/>
    <n v="5617.08"/>
    <n v="6312.28"/>
    <n v="6448.57"/>
    <n v="7763.34"/>
    <n v="8506.16"/>
    <n v="8254.6200000000008"/>
    <n v="7819.55"/>
    <n v="0"/>
    <n v="0"/>
    <n v="0"/>
    <n v="0"/>
    <n v="0"/>
    <x v="0"/>
    <x v="8"/>
    <x v="8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10. ATENCION ESPECIALIZADA DE LA SALUD"/>
    <s v="20. SALUD"/>
    <s v="044. SALUD INDIVIDUAL"/>
    <s v="0097. ATENCION MEDICA ESPECIALIZADA"/>
    <s v="00001"/>
    <s v="0023484. ATENCION MEDICA ESPECIALIZADA"/>
    <s v="00006 - ATENCION"/>
    <n v="150000"/>
    <n v="75000"/>
    <n v="26347"/>
    <n v="26347"/>
    <x v="34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33937"/>
    <n v="0"/>
    <n v="33937"/>
    <n v="14889"/>
    <n v="14889"/>
    <n v="2127"/>
    <n v="2127"/>
    <n v="2127"/>
    <n v="2127"/>
    <n v="2127"/>
    <n v="2127"/>
    <n v="2127"/>
    <n v="0"/>
    <n v="0"/>
    <n v="0"/>
    <n v="0"/>
    <n v="0"/>
    <n v="2127"/>
    <n v="2127"/>
    <n v="2127"/>
    <n v="2127"/>
    <n v="2127"/>
    <n v="2127"/>
    <n v="2127"/>
    <n v="0"/>
    <n v="0"/>
    <n v="0"/>
    <n v="0"/>
    <n v="0"/>
    <n v="1909.11"/>
    <n v="2123.27"/>
    <n v="2148.4"/>
    <n v="2131.29"/>
    <n v="2096.69"/>
    <n v="2161.12"/>
    <n v="2098.61"/>
    <n v="0"/>
    <n v="0"/>
    <n v="0"/>
    <n v="0"/>
    <n v="0"/>
    <n v="1909.11"/>
    <n v="2123.27"/>
    <n v="2148.4"/>
    <n v="2131.29"/>
    <n v="2096.69"/>
    <n v="2161.12"/>
    <n v="2098.61"/>
    <n v="0"/>
    <n v="0"/>
    <n v="0"/>
    <n v="0"/>
    <n v="0"/>
    <x v="0"/>
    <x v="8"/>
    <x v="8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2. ATENCION EN CONSULTAS EXTERNAS"/>
    <s v="20. SALUD"/>
    <s v="044. SALUD INDIVIDUAL"/>
    <s v="0097. ATENCION MEDICA ESPECIALIZADA"/>
    <s v="00001"/>
    <s v="0000266. ATENCION EN CONSULTAS EXTERNAS"/>
    <s v="00006 - ATENCION"/>
    <n v="150000"/>
    <n v="75000"/>
    <n v="31583"/>
    <n v="31583"/>
    <x v="35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80917"/>
    <n v="-1309"/>
    <n v="79608"/>
    <n v="46438"/>
    <n v="46438"/>
    <n v="6634"/>
    <n v="6634"/>
    <n v="6634"/>
    <n v="6634"/>
    <n v="6634"/>
    <n v="6634"/>
    <n v="6634"/>
    <n v="0"/>
    <n v="0"/>
    <n v="0"/>
    <n v="0"/>
    <n v="0"/>
    <n v="6634"/>
    <n v="6634"/>
    <n v="6634"/>
    <n v="6634"/>
    <n v="6634"/>
    <n v="6634"/>
    <n v="6634"/>
    <n v="0"/>
    <n v="0"/>
    <n v="0"/>
    <n v="0"/>
    <n v="0"/>
    <n v="5320.42"/>
    <n v="5913.35"/>
    <n v="6678.48"/>
    <n v="6454.62"/>
    <n v="6650.66"/>
    <n v="6751.45"/>
    <n v="6254.47"/>
    <n v="0"/>
    <n v="0"/>
    <n v="0"/>
    <n v="0"/>
    <n v="0"/>
    <n v="5320.42"/>
    <n v="5913.35"/>
    <n v="6678.48"/>
    <n v="6454.62"/>
    <n v="6650.66"/>
    <n v="6751.45"/>
    <n v="6254.47"/>
    <n v="0"/>
    <n v="0"/>
    <n v="0"/>
    <n v="0"/>
    <n v="0"/>
    <x v="0"/>
    <x v="8"/>
    <x v="8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408768"/>
    <n v="-5550"/>
    <n v="403218"/>
    <n v="235254.44"/>
    <n v="235254.44"/>
    <n v="33575"/>
    <n v="33575"/>
    <n v="33575"/>
    <n v="33575"/>
    <n v="33804.44"/>
    <n v="33575"/>
    <n v="33575"/>
    <n v="0"/>
    <n v="0"/>
    <n v="0"/>
    <n v="0"/>
    <n v="0"/>
    <n v="33575"/>
    <n v="33575"/>
    <n v="33575"/>
    <n v="33575"/>
    <n v="33804.44"/>
    <n v="33575"/>
    <n v="33575"/>
    <n v="0"/>
    <n v="0"/>
    <n v="0"/>
    <n v="0"/>
    <n v="0"/>
    <n v="25378.799999999999"/>
    <n v="32706.5"/>
    <n v="35859.17"/>
    <n v="31848.54"/>
    <n v="34195.99"/>
    <n v="36518.400000000001"/>
    <n v="31329.19"/>
    <n v="0"/>
    <n v="0"/>
    <n v="0"/>
    <n v="0"/>
    <n v="0"/>
    <n v="25378.799999999999"/>
    <n v="32592.15"/>
    <n v="35859.17"/>
    <n v="31866.55"/>
    <n v="34195.99"/>
    <n v="36614.74"/>
    <n v="31233.59"/>
    <n v="0"/>
    <n v="0"/>
    <n v="0"/>
    <n v="0"/>
    <n v="0"/>
    <x v="0"/>
    <x v="8"/>
    <x v="8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4. INTERVENCIONES QUIRURGICAS"/>
    <s v="20. SALUD"/>
    <s v="044. SALUD INDIVIDUAL"/>
    <s v="0097. ATENCION MEDICA ESPECIALIZADA"/>
    <s v="00001"/>
    <s v="0000257. ATENCION DE INTERVENCIONES QUIRURGICAS"/>
    <s v="00006 - ATENCION"/>
    <n v="20000"/>
    <n v="10000"/>
    <n v="8000"/>
    <n v="8000"/>
    <x v="3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51048"/>
    <n v="0"/>
    <n v="51048"/>
    <n v="29778"/>
    <n v="29778"/>
    <n v="4254"/>
    <n v="4254"/>
    <n v="4254"/>
    <n v="4254"/>
    <n v="4254"/>
    <n v="4254"/>
    <n v="4254"/>
    <n v="0"/>
    <n v="0"/>
    <n v="0"/>
    <n v="0"/>
    <n v="0"/>
    <n v="4254"/>
    <n v="4254"/>
    <n v="4254"/>
    <n v="4254"/>
    <n v="4254"/>
    <n v="4254"/>
    <n v="4254"/>
    <n v="0"/>
    <n v="0"/>
    <n v="0"/>
    <n v="0"/>
    <n v="0"/>
    <n v="3799.79"/>
    <n v="4251.62"/>
    <n v="4274.3100000000004"/>
    <n v="4402.92"/>
    <n v="4242.83"/>
    <n v="4480.8900000000003"/>
    <n v="4048.32"/>
    <n v="0"/>
    <n v="0"/>
    <n v="0"/>
    <n v="0"/>
    <n v="0"/>
    <n v="3799.79"/>
    <n v="4251.62"/>
    <n v="4274.3100000000004"/>
    <n v="4402.92"/>
    <n v="4242.83"/>
    <n v="4480.8900000000003"/>
    <n v="4048.32"/>
    <n v="0"/>
    <n v="0"/>
    <n v="0"/>
    <n v="0"/>
    <n v="0"/>
    <x v="0"/>
    <x v="8"/>
    <x v="8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6. OTRAS ATENCIONES DE SALUD ESPECIALIZADAS"/>
    <s v="20. SALUD"/>
    <s v="044. SALUD INDIVIDUAL"/>
    <s v="0097. ATENCION MEDICA ESPECIALIZADA"/>
    <s v="00001"/>
    <s v="0023484. ATENCION MEDICA ESPECIALIZADA"/>
    <s v="00006 - ATENCION"/>
    <n v="25000"/>
    <n v="12500"/>
    <n v="11000"/>
    <n v="11000"/>
    <x v="3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8600"/>
    <n v="0"/>
    <n v="86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8"/>
    <x v="8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9. COMERCIALIZACION DE MEDICAMENTOS E INSUMOS"/>
    <s v="20. SALUD"/>
    <s v="044. SALUD INDIVIDUAL"/>
    <s v="0098. SERVICIOS DE DIAGNOSTICO Y TRATAMIENTO"/>
    <s v="00001"/>
    <s v="0001468. VENTA DE MEDICINAS"/>
    <s v="00006 - ATENCION"/>
    <n v="500000"/>
    <n v="250000"/>
    <n v="225000"/>
    <n v="225000"/>
    <x v="3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222576"/>
    <n v="0"/>
    <n v="222576"/>
    <n v="142453"/>
    <n v="142453"/>
    <n v="20055"/>
    <n v="20055"/>
    <n v="20055"/>
    <n v="20055"/>
    <n v="20055"/>
    <n v="20055"/>
    <n v="22123"/>
    <n v="0"/>
    <n v="0"/>
    <n v="0"/>
    <n v="0"/>
    <n v="0"/>
    <n v="20055"/>
    <n v="20055"/>
    <n v="20055"/>
    <n v="20055"/>
    <n v="20055"/>
    <n v="20055"/>
    <n v="22123"/>
    <n v="0"/>
    <n v="0"/>
    <n v="0"/>
    <n v="0"/>
    <n v="0"/>
    <n v="16140.55"/>
    <n v="19319.490000000002"/>
    <n v="20230.669999999998"/>
    <n v="19519.740000000002"/>
    <n v="20285.55"/>
    <n v="21632.03"/>
    <n v="20521.439999999999"/>
    <n v="0"/>
    <n v="0"/>
    <n v="0"/>
    <n v="0"/>
    <n v="0"/>
    <n v="16140.55"/>
    <n v="19277.63"/>
    <n v="20230.669999999998"/>
    <n v="19561.599999999999"/>
    <n v="20285.55"/>
    <n v="21632.03"/>
    <n v="18632.09"/>
    <n v="0"/>
    <n v="0"/>
    <n v="0"/>
    <n v="0"/>
    <n v="0"/>
    <x v="0"/>
    <x v="8"/>
    <x v="8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2197. PRESTACIONES ADMINISTRATIVAS SUBSIDIADAS/NO TARIFADO"/>
    <s v="20. SALUD"/>
    <s v="044. SALUD INDIVIDUAL"/>
    <s v="0097. ATENCION MEDICA ESPECIALIZADA"/>
    <s v="00001"/>
    <s v="0002088. SEGURO INTEGRAL DE SALUD"/>
    <s v="00006 - ATENCION"/>
    <n v="50000"/>
    <n v="25000"/>
    <n v="26500"/>
    <n v="26500"/>
    <x v="4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40413"/>
    <n v="-10680"/>
    <n v="29733"/>
    <n v="19097.259999999998"/>
    <n v="19097.259999999998"/>
    <n v="3499.26"/>
    <n v="4963"/>
    <n v="2127"/>
    <n v="2127"/>
    <n v="2127"/>
    <n v="2127"/>
    <n v="2127"/>
    <n v="0"/>
    <n v="0"/>
    <n v="0"/>
    <n v="0"/>
    <n v="0"/>
    <n v="3499.26"/>
    <n v="4963"/>
    <n v="2127"/>
    <n v="2127"/>
    <n v="2127"/>
    <n v="2127"/>
    <n v="2127"/>
    <n v="0"/>
    <n v="0"/>
    <n v="0"/>
    <n v="0"/>
    <n v="0"/>
    <n v="3064.57"/>
    <n v="4840.43"/>
    <n v="2456.71"/>
    <n v="2078.69"/>
    <n v="2138.25"/>
    <n v="2335.4"/>
    <n v="1922.81"/>
    <n v="0"/>
    <n v="0"/>
    <n v="0"/>
    <n v="0"/>
    <n v="0"/>
    <n v="3064.57"/>
    <n v="4817.53"/>
    <n v="2456.71"/>
    <n v="2101.59"/>
    <n v="2138.25"/>
    <n v="2335.4"/>
    <n v="1922.81"/>
    <n v="0"/>
    <n v="0"/>
    <n v="0"/>
    <n v="0"/>
    <n v="0"/>
    <x v="0"/>
    <x v="8"/>
    <x v="8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1. PERSONAL NOMBRADO"/>
    <s v="0 . RECURSOS ORDINARIOS"/>
    <n v="1216727"/>
    <n v="0"/>
    <n v="1216727"/>
    <n v="792328.56"/>
    <n v="792328.56"/>
    <n v="117558"/>
    <n v="115449"/>
    <n v="112057.32"/>
    <n v="111227"/>
    <n v="113583.24"/>
    <n v="111227"/>
    <n v="111227"/>
    <n v="0"/>
    <n v="0"/>
    <n v="0"/>
    <n v="0"/>
    <n v="0"/>
    <n v="117558"/>
    <n v="115449"/>
    <n v="112057.32"/>
    <n v="111227"/>
    <n v="113583.24"/>
    <n v="111227"/>
    <n v="111227"/>
    <n v="0"/>
    <n v="0"/>
    <n v="0"/>
    <n v="0"/>
    <n v="0"/>
    <n v="92500.85"/>
    <n v="113859.55"/>
    <n v="114980.58"/>
    <n v="106135.02"/>
    <n v="114179.69"/>
    <n v="121607.84"/>
    <n v="104622.65"/>
    <n v="0"/>
    <n v="0"/>
    <n v="0"/>
    <n v="0"/>
    <n v="0"/>
    <n v="92500.85"/>
    <n v="112511.14"/>
    <n v="114980.58"/>
    <n v="107479.49"/>
    <n v="114179.69"/>
    <n v="121607.84"/>
    <n v="104034.02"/>
    <n v="0"/>
    <n v="0"/>
    <n v="0"/>
    <n v="0"/>
    <n v="0"/>
    <x v="0"/>
    <x v="8"/>
    <x v="8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00005."/>
    <s v="5.ACTIVIDAD"/>
    <s v="5000058. BRINDAR SERVICIOS DE SALUD PARA PREVENCION DEL EMBARAZO A ADOLESCENTES"/>
    <s v="20. SALUD"/>
    <s v="044. SALUD INDIVIDUAL"/>
    <s v="0096. ATENCION MEDICA BASICA"/>
    <s v="00001"/>
    <s v="0053220. ADOLESCENTES ACCEDEN A SERVICIOS DE SALUD PARA PREVENCION DEL EMBARAZO"/>
    <s v="00150 - ADOLESCENTE"/>
    <n v="200"/>
    <n v="100"/>
    <n v="0"/>
    <n v="0"/>
    <x v="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2. PERSONAL CONTRATADO"/>
    <s v="0 . RECURSOS ORDINARIOS"/>
    <n v="2068"/>
    <n v="0"/>
    <n v="20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"/>
    <x v="9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172."/>
    <s v="5.ACTIVIDAD"/>
    <s v="5000037. BRINDAR ATENCION PRENATAL REENFOCADA"/>
    <s v="20. SALUD"/>
    <s v="044. SALUD INDIVIDUAL"/>
    <s v="0096. ATENCION MEDICA BASICA"/>
    <s v="00001"/>
    <s v="0033172. ATENCION PRENATAL REENFOCADA"/>
    <s v="00058 - GESTANTE CONTROLADA"/>
    <n v="3140"/>
    <n v="1570"/>
    <n v="1605"/>
    <n v="1605"/>
    <x v="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2. PERSONAL CONTRATADO"/>
    <s v="0 . RECURSOS ORDINARIOS"/>
    <n v="22748"/>
    <n v="-227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"/>
    <x v="9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4."/>
    <s v="5.ACTIVIDAD"/>
    <s v="5000044. BRINDAR ATENCION A LA GESTANTE CON COMPLICACIONES"/>
    <s v="20. SALUD"/>
    <s v="044. SALUD INDIVIDUAL"/>
    <s v="0097. ATENCION MEDICA ESPECIALIZADA"/>
    <s v="00001"/>
    <s v="0033294. ATENCION DE LA GESTANTE CON COMPLICACIONES"/>
    <s v="00016 - CASO TRATADO"/>
    <n v="4100"/>
    <n v="2050"/>
    <n v="1830"/>
    <n v="1830"/>
    <x v="1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2. PERSONAL CONTRATADO"/>
    <s v="0 . RECURSOS ORDINARIOS"/>
    <n v="22748"/>
    <n v="0"/>
    <n v="227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"/>
    <x v="9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5."/>
    <s v="5.ACTIVIDAD"/>
    <s v="5000045. BRINDAR ATENCION DE PARTO NORMAL"/>
    <s v="20. SALUD"/>
    <s v="044. SALUD INDIVIDUAL"/>
    <s v="0096. ATENCION MEDICA BASICA"/>
    <s v="00001"/>
    <s v="0033295. ATENCION DEL PARTO NORMAL"/>
    <s v="00208 - PARTO NORMAL"/>
    <n v="1400"/>
    <n v="700"/>
    <n v="447"/>
    <n v="447"/>
    <x v="11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2. PERSONAL CONTRATADO"/>
    <s v="0 . RECURSOS ORDINARIOS"/>
    <n v="22748"/>
    <n v="0"/>
    <n v="22748"/>
    <n v="14476"/>
    <n v="14476"/>
    <n v="2068"/>
    <n v="2068"/>
    <n v="2068"/>
    <n v="2068"/>
    <n v="2068"/>
    <n v="2068"/>
    <n v="2068"/>
    <n v="0"/>
    <n v="0"/>
    <n v="0"/>
    <n v="0"/>
    <n v="0"/>
    <n v="2068"/>
    <n v="2068"/>
    <n v="2068"/>
    <n v="2068"/>
    <n v="2068"/>
    <n v="2068"/>
    <n v="2068"/>
    <n v="0"/>
    <n v="0"/>
    <n v="0"/>
    <n v="0"/>
    <n v="0"/>
    <n v="1820.76"/>
    <n v="2068"/>
    <n v="2120.34"/>
    <n v="1943.17"/>
    <n v="2162.5700000000002"/>
    <n v="2234.61"/>
    <n v="1205.9000000000001"/>
    <n v="0"/>
    <n v="0"/>
    <n v="0"/>
    <n v="0"/>
    <n v="0"/>
    <n v="1820.76"/>
    <n v="1995.51"/>
    <n v="2120.34"/>
    <n v="2015.66"/>
    <n v="2162.5700000000002"/>
    <n v="2234.61"/>
    <n v="1205.9000000000001"/>
    <n v="0"/>
    <n v="0"/>
    <n v="0"/>
    <n v="0"/>
    <n v="0"/>
    <x v="0"/>
    <x v="9"/>
    <x v="9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7."/>
    <s v="5.ACTIVIDAD"/>
    <s v="5000047. BRINDAR ATENCION DEL PARTO COMPLICADO QUIRURGICO"/>
    <s v="20. SALUD"/>
    <s v="044. SALUD INDIVIDUAL"/>
    <s v="0097. ATENCION MEDICA ESPECIALIZADA"/>
    <s v="00001"/>
    <s v="0033297. ATENCION DEL PARTO COMPLICADO QUIRURGICO"/>
    <s v="00210 - CESAREA"/>
    <n v="1550"/>
    <n v="775"/>
    <n v="747"/>
    <n v="747"/>
    <x v="1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2. PERSONAL CONTRATADO"/>
    <s v="0 . RECURSOS ORDINARIOS"/>
    <n v="25069"/>
    <n v="4090"/>
    <n v="29159"/>
    <n v="27045"/>
    <n v="27045"/>
    <n v="2091"/>
    <n v="4159"/>
    <n v="4159"/>
    <n v="2091"/>
    <n v="2091"/>
    <n v="2091"/>
    <n v="10363"/>
    <n v="0"/>
    <n v="0"/>
    <n v="0"/>
    <n v="0"/>
    <n v="0"/>
    <n v="2091"/>
    <n v="4159"/>
    <n v="4159"/>
    <n v="2091"/>
    <n v="2091"/>
    <n v="2091"/>
    <n v="10363"/>
    <n v="0"/>
    <n v="0"/>
    <n v="0"/>
    <n v="0"/>
    <n v="0"/>
    <n v="1788.43"/>
    <n v="2112.69"/>
    <n v="6061.59"/>
    <n v="2166.08"/>
    <n v="2168.44"/>
    <n v="2112.31"/>
    <n v="9655.27"/>
    <n v="0"/>
    <n v="0"/>
    <n v="0"/>
    <n v="0"/>
    <n v="0"/>
    <n v="1788.43"/>
    <n v="2079.69"/>
    <n v="4168.34"/>
    <n v="2199.08"/>
    <n v="4061.69"/>
    <n v="2112.31"/>
    <n v="2082.2600000000002"/>
    <n v="0"/>
    <n v="0"/>
    <n v="0"/>
    <n v="0"/>
    <n v="0"/>
    <x v="0"/>
    <x v="9"/>
    <x v="9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65."/>
    <s v="5.ACTIVIDAD"/>
    <s v="5006012. DIAGNOSTICO DEL CANCER DE CUELLO UTERINO"/>
    <s v="20. SALUD"/>
    <s v="044. SALUD INDIVIDUAL"/>
    <s v="0097. ATENCION MEDICA ESPECIALIZADA"/>
    <s v="00001"/>
    <s v="0215085. DIAGNOSTICO DEL CANCER DE CUELLO UTERINO"/>
    <s v="00393 - TASA"/>
    <n v="128"/>
    <n v="64"/>
    <n v="17"/>
    <n v="17"/>
    <x v="25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2. PERSONAL CONTRATADO"/>
    <s v="0 . RECURSOS ORDINARIOS"/>
    <n v="0"/>
    <n v="18898"/>
    <n v="18898"/>
    <n v="6234"/>
    <n v="6234"/>
    <n v="0"/>
    <n v="0"/>
    <n v="0"/>
    <n v="0"/>
    <n v="0"/>
    <n v="0"/>
    <n v="6234"/>
    <n v="0"/>
    <n v="0"/>
    <n v="0"/>
    <n v="0"/>
    <n v="0"/>
    <n v="0"/>
    <n v="0"/>
    <n v="0"/>
    <n v="0"/>
    <n v="0"/>
    <n v="0"/>
    <n v="6234"/>
    <n v="0"/>
    <n v="0"/>
    <n v="0"/>
    <n v="0"/>
    <n v="0"/>
    <n v="0"/>
    <n v="0"/>
    <n v="0"/>
    <n v="0"/>
    <n v="0"/>
    <n v="0"/>
    <n v="5709.7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"/>
    <x v="9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3. ATENCION DE LA EMERGENCIA Y URGENCIA ESPECIALIZADA"/>
    <s v="20. SALUD"/>
    <s v="044. SALUD INDIVIDUAL"/>
    <s v="0097. ATENCION MEDICA ESPECIALIZADA"/>
    <s v="00001"/>
    <s v="0188299. ATENCION DE LA EMERGENCIA Y URGENCIA ESPECIALIZADA"/>
    <s v="00006 - ATENCION"/>
    <n v="25000"/>
    <n v="12500"/>
    <n v="7470"/>
    <n v="7470"/>
    <x v="2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2. PERSONAL CONTRATADO"/>
    <s v="0 . RECURSOS ORDINARIOS"/>
    <n v="55836"/>
    <n v="0"/>
    <n v="55836"/>
    <n v="28014.720000000001"/>
    <n v="28014.720000000001"/>
    <n v="4136"/>
    <n v="2585"/>
    <n v="4136"/>
    <n v="4136"/>
    <n v="3135.35"/>
    <n v="2068"/>
    <n v="7818.37"/>
    <n v="0"/>
    <n v="0"/>
    <n v="0"/>
    <n v="0"/>
    <n v="0"/>
    <n v="4136"/>
    <n v="2585"/>
    <n v="4136"/>
    <n v="4136"/>
    <n v="3135.35"/>
    <n v="2068"/>
    <n v="7818.37"/>
    <n v="0"/>
    <n v="0"/>
    <n v="0"/>
    <n v="0"/>
    <n v="0"/>
    <n v="3729.63"/>
    <n v="2735.93"/>
    <n v="4007.22"/>
    <n v="4128.6000000000004"/>
    <n v="3219.24"/>
    <n v="2198.92"/>
    <n v="7316.91"/>
    <n v="0"/>
    <n v="0"/>
    <n v="0"/>
    <n v="0"/>
    <n v="0"/>
    <n v="3729.63"/>
    <n v="2735.93"/>
    <n v="4007.22"/>
    <n v="4128.6000000000004"/>
    <n v="3219.24"/>
    <n v="2198.92"/>
    <n v="7316.91"/>
    <n v="0"/>
    <n v="0"/>
    <n v="0"/>
    <n v="0"/>
    <n v="0"/>
    <x v="0"/>
    <x v="9"/>
    <x v="9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5. ATENCION DE LA EMERGENCIA QUIRURGICA"/>
    <s v="20. SALUD"/>
    <s v="044. SALUD INDIVIDUAL"/>
    <s v="0097. ATENCION MEDICA ESPECIALIZADA"/>
    <s v="00001"/>
    <s v="0188301. ATENCION DE LA EMERGENCIA QUIRURGICA"/>
    <s v="00006 - ATENCION"/>
    <n v="3000"/>
    <n v="1500"/>
    <n v="1405"/>
    <n v="1405"/>
    <x v="3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2. PERSONAL CONTRATADO"/>
    <s v="0 . RECURSOS ORDINARIOS"/>
    <n v="56043"/>
    <n v="-2137"/>
    <n v="53906"/>
    <n v="41498"/>
    <n v="41498"/>
    <n v="6227"/>
    <n v="6227"/>
    <n v="6227"/>
    <n v="6227"/>
    <n v="6227"/>
    <n v="6227"/>
    <n v="4136"/>
    <n v="0"/>
    <n v="0"/>
    <n v="0"/>
    <n v="0"/>
    <n v="0"/>
    <n v="6227"/>
    <n v="6227"/>
    <n v="6227"/>
    <n v="6227"/>
    <n v="6227"/>
    <n v="6227"/>
    <n v="4136"/>
    <n v="0"/>
    <n v="0"/>
    <n v="0"/>
    <n v="0"/>
    <n v="0"/>
    <n v="4443.13"/>
    <n v="5328.04"/>
    <n v="7072.23"/>
    <n v="5337.91"/>
    <n v="6252.64"/>
    <n v="7475.69"/>
    <n v="4288.78"/>
    <n v="0"/>
    <n v="0"/>
    <n v="0"/>
    <n v="0"/>
    <n v="0"/>
    <n v="4443.13"/>
    <n v="5328.04"/>
    <n v="7072.23"/>
    <n v="5337.91"/>
    <n v="6252.64"/>
    <n v="7475.69"/>
    <n v="4288.78"/>
    <n v="0"/>
    <n v="0"/>
    <n v="0"/>
    <n v="0"/>
    <n v="0"/>
    <x v="0"/>
    <x v="9"/>
    <x v="9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1. PLANEAMIENTO Y PRESUPUESTO"/>
    <s v="20. SALUD"/>
    <s v="004. PLANEAMIENTO GUBERNAMENTAL"/>
    <s v="0005. PLANEAMIENTO INSTITUCIONAL"/>
    <s v="00001"/>
    <s v="0001179. PLANEAMIENTO Y PRESUPUESTO"/>
    <s v="00001 - ACCION"/>
    <n v="12"/>
    <n v="6"/>
    <n v="5"/>
    <n v="5"/>
    <x v="1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2. PERSONAL CONTRATADO"/>
    <s v="0 . RECURSOS ORDINARIOS"/>
    <n v="22748"/>
    <n v="-227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"/>
    <x v="9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5. GESTION DE RECURSOS HUMANOS"/>
    <s v="20. SALUD"/>
    <s v="006. GESTION"/>
    <s v="0011. PREPARACION Y PERFECCIONAMIENTO DE RECURSOS HUMANOS"/>
    <s v="00001"/>
    <s v="0053571. GESTION DE RECURSOS HUMANOS"/>
    <s v="00001 - ACCION"/>
    <n v="2426"/>
    <n v="1213"/>
    <n v="124"/>
    <n v="124"/>
    <x v="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2. PERSONAL CONTRATADO"/>
    <s v="0 . RECURSOS ORDINARIOS"/>
    <n v="101203"/>
    <n v="-1012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"/>
    <x v="9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377. MEJORAMIENTO DE LA OFERTA DE LOS SERVICIOS DE SALUD"/>
    <s v="20. SALUD"/>
    <s v="044. SALUD INDIVIDUAL"/>
    <s v="0097. ATENCION MEDICA ESPECIALIZADA"/>
    <s v="00001"/>
    <s v="0006831. MEJORAR LA ATENCION A LA POBLACION"/>
    <s v="00006 - ATENCION"/>
    <n v="2400"/>
    <n v="1200"/>
    <n v="940"/>
    <n v="940"/>
    <x v="3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2. PERSONAL CONTRATADO"/>
    <s v="0 . RECURSOS ORDINARIOS"/>
    <n v="16039"/>
    <n v="-15391"/>
    <n v="6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"/>
    <x v="9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00. ATENCION BASICA DE SALUD"/>
    <s v="20. SALUD"/>
    <s v="044. SALUD INDIVIDUAL"/>
    <s v="0096. ATENCION MEDICA BASICA"/>
    <s v="00001"/>
    <s v="0000251. ATENCION BASICA"/>
    <s v="00006 - ATENCION"/>
    <n v="200000"/>
    <n v="100000"/>
    <n v="78000"/>
    <n v="78000"/>
    <x v="3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2. PERSONAL CONTRATADO"/>
    <s v="0 . RECURSOS ORDINARIOS"/>
    <n v="136388"/>
    <n v="-102217"/>
    <n v="341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"/>
    <x v="9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2. PERSONAL CONTRATADO"/>
    <s v="0 . RECURSOS ORDINARIOS"/>
    <n v="125260"/>
    <n v="-4334"/>
    <n v="120926"/>
    <n v="69320.44"/>
    <n v="69320.44"/>
    <n v="6177"/>
    <n v="10313"/>
    <n v="8245"/>
    <n v="8245"/>
    <n v="8245"/>
    <n v="17782.439999999999"/>
    <n v="10313"/>
    <n v="0"/>
    <n v="0"/>
    <n v="0"/>
    <n v="0"/>
    <n v="0"/>
    <n v="6177"/>
    <n v="10313"/>
    <n v="8245"/>
    <n v="8245"/>
    <n v="8245"/>
    <n v="17782.439999999999"/>
    <n v="10313"/>
    <n v="0"/>
    <n v="0"/>
    <n v="0"/>
    <n v="0"/>
    <n v="0"/>
    <n v="3663.02"/>
    <n v="5529.76"/>
    <n v="10520.31"/>
    <n v="9463.8700000000008"/>
    <n v="6894.78"/>
    <n v="21301.95"/>
    <n v="8734.89"/>
    <n v="0"/>
    <n v="0"/>
    <n v="0"/>
    <n v="0"/>
    <n v="0"/>
    <n v="3663.02"/>
    <n v="5468.22"/>
    <n v="10520.31"/>
    <n v="9525.41"/>
    <n v="6894.78"/>
    <n v="21301.95"/>
    <n v="8734.89"/>
    <n v="0"/>
    <n v="0"/>
    <n v="0"/>
    <n v="0"/>
    <n v="0"/>
    <x v="0"/>
    <x v="9"/>
    <x v="9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8. ATENCION DE CUIDADOS INTENSIVOS"/>
    <s v="20. SALUD"/>
    <s v="044. SALUD INDIVIDUAL"/>
    <s v="0097. ATENCION MEDICA ESPECIALIZADA"/>
    <s v="00001"/>
    <s v="0000268. ATENCION EN CUIDADOS INTENSIVOS"/>
    <s v="00006 - ATENCION"/>
    <n v="20000"/>
    <n v="10000"/>
    <n v="9800"/>
    <n v="9800"/>
    <x v="5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2. PERSONAL CONTRATADO"/>
    <s v="0 . RECURSOS ORDINARIOS"/>
    <n v="11543"/>
    <n v="0"/>
    <n v="115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"/>
    <x v="9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2197. PRESTACIONES ADMINISTRATIVAS SUBSIDIADAS/NO TARIFADO"/>
    <s v="20. SALUD"/>
    <s v="044. SALUD INDIVIDUAL"/>
    <s v="0097. ATENCION MEDICA ESPECIALIZADA"/>
    <s v="00001"/>
    <s v="0002088. SEGURO INTEGRAL DE SALUD"/>
    <s v="00006 - ATENCION"/>
    <n v="50000"/>
    <n v="25000"/>
    <n v="26500"/>
    <n v="26500"/>
    <x v="4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2. PERSONAL CONTRATADO"/>
    <s v="0 . RECURSOS ORDINARIOS"/>
    <n v="22748"/>
    <n v="-227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"/>
    <x v="9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2. PERSONAL CONTRATADO"/>
    <s v="0 . RECURSOS ORDINARIOS"/>
    <n v="304290"/>
    <n v="4402"/>
    <n v="308692"/>
    <n v="215529.67"/>
    <n v="215529.67"/>
    <n v="20741"/>
    <n v="39299"/>
    <n v="31054"/>
    <n v="31054"/>
    <n v="31273.67"/>
    <n v="31054"/>
    <n v="31054"/>
    <n v="0"/>
    <n v="0"/>
    <n v="0"/>
    <n v="0"/>
    <n v="0"/>
    <n v="20741"/>
    <n v="39299"/>
    <n v="31054"/>
    <n v="31054"/>
    <n v="31273.67"/>
    <n v="31054"/>
    <n v="31054"/>
    <n v="0"/>
    <n v="0"/>
    <n v="0"/>
    <n v="0"/>
    <n v="0"/>
    <n v="16813.900000000001"/>
    <n v="19919.330000000002"/>
    <n v="48841.97"/>
    <n v="31383.91"/>
    <n v="28764.38"/>
    <n v="33563.879999999997"/>
    <n v="30510.63"/>
    <n v="0"/>
    <n v="0"/>
    <n v="0"/>
    <n v="0"/>
    <n v="0"/>
    <n v="16813.900000000001"/>
    <n v="19547.54"/>
    <n v="48841.97"/>
    <n v="29862.45"/>
    <n v="28764.38"/>
    <n v="35457.129999999997"/>
    <n v="28711.55"/>
    <n v="0"/>
    <n v="0"/>
    <n v="0"/>
    <n v="0"/>
    <n v="0"/>
    <x v="0"/>
    <x v="9"/>
    <x v="9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2. ATENCION DE LA EMERGENCIA Y URGENCIA BASICA"/>
    <s v="20. SALUD"/>
    <s v="044. SALUD INDIVIDUAL"/>
    <s v="0096. ATENCION MEDICA BASICA"/>
    <s v="00001"/>
    <s v="0188298. ATENCION DE LA EMERGENCIA Y URGENCIA BASICA"/>
    <s v="00006 - ATENCION"/>
    <n v="100"/>
    <n v="50"/>
    <n v="1"/>
    <n v="1"/>
    <x v="41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2. NO PROFESIONALES DE LA SALUD"/>
    <s v=" 2. PERSONAL CONTRATADO"/>
    <s v="0 . RECURSOS ORDINARIO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"/>
    <x v="9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315."/>
    <s v="5.ACTIVIDAD"/>
    <s v="5000031. BRINDAR ATENCION A OTRAS ENFERMEDADES PREVALENTES"/>
    <s v="20. SALUD"/>
    <s v="044. SALUD INDIVIDUAL"/>
    <s v="0096. ATENCION MEDICA BASICA"/>
    <s v="00001"/>
    <s v="0033315. ATENCION DE OTRAS ENFERMEDADES PREVALENTES"/>
    <s v="00016 - CASO TRATADO"/>
    <n v="440"/>
    <n v="220"/>
    <n v="198"/>
    <n v="198"/>
    <x v="6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40911"/>
    <n v="28456"/>
    <n v="69367"/>
    <n v="40159.56"/>
    <n v="40159.56"/>
    <n v="4809.72"/>
    <n v="4827.93"/>
    <n v="4792.75"/>
    <n v="0"/>
    <n v="10008.299999999999"/>
    <n v="5985.42"/>
    <n v="9735.44"/>
    <n v="0"/>
    <n v="0"/>
    <n v="0"/>
    <n v="0"/>
    <n v="0"/>
    <n v="4809.72"/>
    <n v="4827.93"/>
    <n v="4792.75"/>
    <n v="0"/>
    <n v="10008.299999999999"/>
    <n v="5985.42"/>
    <n v="9735.44"/>
    <n v="0"/>
    <n v="0"/>
    <n v="0"/>
    <n v="0"/>
    <n v="0"/>
    <n v="3827.86"/>
    <n v="4308.84"/>
    <n v="5352.36"/>
    <n v="894.05"/>
    <n v="7421.05"/>
    <n v="7570.66"/>
    <n v="8598.2800000000007"/>
    <n v="0"/>
    <n v="0"/>
    <n v="0"/>
    <n v="0"/>
    <n v="0"/>
    <n v="3827.86"/>
    <n v="4293.2299999999996"/>
    <n v="5352.36"/>
    <n v="909.66"/>
    <n v="7421.05"/>
    <n v="7570.66"/>
    <n v="8598.2800000000007"/>
    <n v="0"/>
    <n v="0"/>
    <n v="0"/>
    <n v="0"/>
    <n v="0"/>
    <x v="0"/>
    <x v="10"/>
    <x v="10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00001."/>
    <s v="5.ACTIVIDAD"/>
    <s v="5004389. DESARROLLO DE NORMAS Y GUIAS TECNICAS EN SALUD MATERNO NEONATAL"/>
    <s v="20. SALUD"/>
    <s v="043. SALUD COLECTIVA"/>
    <s v="0093. REGULACION Y CONTROL SANITARIO"/>
    <s v="00001"/>
    <s v="0033287. DESARROLLO DE NORMAS Y GUIAS TECNICAS EN SALUD MATERNO NEONATAL"/>
    <s v="00080 - NORMA"/>
    <n v="2"/>
    <n v="1"/>
    <n v="0"/>
    <n v="0"/>
    <x v="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15801"/>
    <n v="-10799"/>
    <n v="5002"/>
    <n v="5001.33"/>
    <n v="5001.33"/>
    <n v="0"/>
    <n v="0"/>
    <n v="0"/>
    <n v="0"/>
    <n v="0"/>
    <n v="5001.33"/>
    <n v="0"/>
    <n v="0"/>
    <n v="0"/>
    <n v="0"/>
    <n v="0"/>
    <n v="0"/>
    <n v="0"/>
    <n v="0"/>
    <n v="0"/>
    <n v="0"/>
    <n v="0"/>
    <n v="5001.33"/>
    <n v="0"/>
    <n v="0"/>
    <n v="0"/>
    <n v="0"/>
    <n v="0"/>
    <n v="0"/>
    <n v="0"/>
    <n v="0"/>
    <n v="0"/>
    <n v="0"/>
    <n v="0"/>
    <n v="4769.87"/>
    <n v="231.46"/>
    <n v="0"/>
    <n v="0"/>
    <n v="0"/>
    <n v="0"/>
    <n v="0"/>
    <n v="0"/>
    <n v="0"/>
    <n v="0"/>
    <n v="0"/>
    <n v="0"/>
    <n v="4498.25"/>
    <n v="208.19"/>
    <n v="0"/>
    <n v="0"/>
    <n v="0"/>
    <n v="0"/>
    <n v="0"/>
    <x v="0"/>
    <x v="10"/>
    <x v="10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00005."/>
    <s v="5.ACTIVIDAD"/>
    <s v="5000058. BRINDAR SERVICIOS DE SALUD PARA PREVENCION DEL EMBARAZO A ADOLESCENTES"/>
    <s v="20. SALUD"/>
    <s v="044. SALUD INDIVIDUAL"/>
    <s v="0096. ATENCION MEDICA BASICA"/>
    <s v="00001"/>
    <s v="0053220. ADOLESCENTES ACCEDEN A SERVICIOS DE SALUD PARA PREVENCION DEL EMBARAZO"/>
    <s v="00150 - ADOLESCENTE"/>
    <n v="200"/>
    <n v="100"/>
    <n v="0"/>
    <n v="0"/>
    <x v="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14311"/>
    <n v="0"/>
    <n v="14311"/>
    <n v="10677.24"/>
    <n v="10677.24"/>
    <n v="0"/>
    <n v="0"/>
    <n v="0"/>
    <n v="0"/>
    <n v="0"/>
    <n v="9713.09"/>
    <n v="964.15"/>
    <n v="0"/>
    <n v="0"/>
    <n v="0"/>
    <n v="0"/>
    <n v="0"/>
    <n v="0"/>
    <n v="0"/>
    <n v="0"/>
    <n v="0"/>
    <n v="0"/>
    <n v="9713.09"/>
    <n v="964.15"/>
    <n v="0"/>
    <n v="0"/>
    <n v="0"/>
    <n v="0"/>
    <n v="0"/>
    <n v="0"/>
    <n v="0"/>
    <n v="0"/>
    <n v="0"/>
    <n v="0"/>
    <n v="9713.09"/>
    <n v="910.39"/>
    <n v="0"/>
    <n v="0"/>
    <n v="0"/>
    <n v="0"/>
    <n v="0"/>
    <n v="0"/>
    <n v="0"/>
    <n v="0"/>
    <n v="0"/>
    <n v="0"/>
    <n v="9713.09"/>
    <n v="910.39"/>
    <n v="0"/>
    <n v="0"/>
    <n v="0"/>
    <n v="0"/>
    <n v="0"/>
    <x v="0"/>
    <x v="10"/>
    <x v="10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172."/>
    <s v="5.ACTIVIDAD"/>
    <s v="5000037. BRINDAR ATENCION PRENATAL REENFOCADA"/>
    <s v="20. SALUD"/>
    <s v="044. SALUD INDIVIDUAL"/>
    <s v="0096. ATENCION MEDICA BASICA"/>
    <s v="00001"/>
    <s v="0033172. ATENCION PRENATAL REENFOCADA"/>
    <s v="00058 - GESTANTE CONTROLADA"/>
    <n v="3140"/>
    <n v="1570"/>
    <n v="1605"/>
    <n v="1605"/>
    <x v="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145566"/>
    <n v="0"/>
    <n v="145566"/>
    <n v="85113.14"/>
    <n v="85113.14"/>
    <n v="12615.79"/>
    <n v="14835.08"/>
    <n v="11848.74"/>
    <n v="14186.37"/>
    <n v="14776.26"/>
    <n v="0"/>
    <n v="16850.900000000001"/>
    <n v="0"/>
    <n v="0"/>
    <n v="0"/>
    <n v="0"/>
    <n v="0"/>
    <n v="12615.79"/>
    <n v="14835.08"/>
    <n v="11848.74"/>
    <n v="14186.37"/>
    <n v="14776.26"/>
    <n v="0"/>
    <n v="16850.900000000001"/>
    <n v="0"/>
    <n v="0"/>
    <n v="0"/>
    <n v="0"/>
    <n v="0"/>
    <n v="10684.74"/>
    <n v="11754.43"/>
    <n v="14618.03"/>
    <n v="13427.66"/>
    <n v="12604.61"/>
    <n v="5172.7700000000004"/>
    <n v="13545.91"/>
    <n v="0"/>
    <n v="0"/>
    <n v="0"/>
    <n v="0"/>
    <n v="0"/>
    <n v="10684.74"/>
    <n v="11538.88"/>
    <n v="14618.03"/>
    <n v="13643.21"/>
    <n v="12604.61"/>
    <n v="2734.96"/>
    <n v="11150.08"/>
    <n v="0"/>
    <n v="0"/>
    <n v="0"/>
    <n v="0"/>
    <n v="0"/>
    <x v="0"/>
    <x v="10"/>
    <x v="10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1."/>
    <s v="5.ACTIVIDAD"/>
    <s v="5000042. MEJORAMIENTO DEL ACCESO DE LA POBLACION A METODOS DE PLANIFICACION FAMILIAR"/>
    <s v="20. SALUD"/>
    <s v="044. SALUD INDIVIDUAL"/>
    <s v="0096. ATENCION MEDICA BASICA"/>
    <s v="00001"/>
    <s v="0033291. POBLACION ACCEDE A METODOS DE PLANIFICACION FAMILIAR"/>
    <s v="00206 - PAREJA PROTEGIDA"/>
    <n v="2838"/>
    <n v="1419"/>
    <n v="909"/>
    <n v="909"/>
    <x v="44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1199"/>
    <n v="0"/>
    <n v="11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0"/>
    <x v="10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4."/>
    <s v="5.ACTIVIDAD"/>
    <s v="5000044. BRINDAR ATENCION A LA GESTANTE CON COMPLICACIONES"/>
    <s v="20. SALUD"/>
    <s v="044. SALUD INDIVIDUAL"/>
    <s v="0097. ATENCION MEDICA ESPECIALIZADA"/>
    <s v="00001"/>
    <s v="0033294. ATENCION DE LA GESTANTE CON COMPLICACIONES"/>
    <s v="00016 - CASO TRATADO"/>
    <n v="4100"/>
    <n v="2050"/>
    <n v="1830"/>
    <n v="1830"/>
    <x v="1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196967"/>
    <n v="0"/>
    <n v="196967"/>
    <n v="56316.03"/>
    <n v="56316.03"/>
    <n v="8794.4"/>
    <n v="9453.1299999999992"/>
    <n v="8479.31"/>
    <n v="9018.69"/>
    <n v="10081.86"/>
    <n v="1173.02"/>
    <n v="9315.6200000000008"/>
    <n v="0"/>
    <n v="0"/>
    <n v="0"/>
    <n v="0"/>
    <n v="0"/>
    <n v="8794.4"/>
    <n v="9453.1299999999992"/>
    <n v="8479.31"/>
    <n v="9018.69"/>
    <n v="10081.86"/>
    <n v="1173.02"/>
    <n v="9315.6200000000008"/>
    <n v="0"/>
    <n v="0"/>
    <n v="0"/>
    <n v="0"/>
    <n v="0"/>
    <n v="5755.83"/>
    <n v="9206.43"/>
    <n v="9706.4699999999993"/>
    <n v="8720.98"/>
    <n v="8788.2800000000007"/>
    <n v="4822.42"/>
    <n v="6778.18"/>
    <n v="0"/>
    <n v="0"/>
    <n v="0"/>
    <n v="0"/>
    <n v="0"/>
    <n v="5755.83"/>
    <n v="9199.8700000000008"/>
    <n v="9713.0300000000007"/>
    <n v="8695.06"/>
    <n v="8765.34"/>
    <n v="4822.42"/>
    <n v="6778.18"/>
    <n v="0"/>
    <n v="0"/>
    <n v="0"/>
    <n v="0"/>
    <n v="0"/>
    <x v="0"/>
    <x v="10"/>
    <x v="10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5."/>
    <s v="5.ACTIVIDAD"/>
    <s v="5000045. BRINDAR ATENCION DE PARTO NORMAL"/>
    <s v="20. SALUD"/>
    <s v="044. SALUD INDIVIDUAL"/>
    <s v="0096. ATENCION MEDICA BASICA"/>
    <s v="00001"/>
    <s v="0033295. ATENCION DEL PARTO NORMAL"/>
    <s v="00208 - PARTO NORMAL"/>
    <n v="1400"/>
    <n v="700"/>
    <n v="447"/>
    <n v="447"/>
    <x v="11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92434"/>
    <n v="8080"/>
    <n v="100514"/>
    <n v="61871.69"/>
    <n v="61871.69"/>
    <n v="8350.31"/>
    <n v="7849.81"/>
    <n v="9579.66"/>
    <n v="10530.12"/>
    <n v="12680.13"/>
    <n v="0"/>
    <n v="12881.66"/>
    <n v="0"/>
    <n v="0"/>
    <n v="0"/>
    <n v="0"/>
    <n v="0"/>
    <n v="8350.31"/>
    <n v="7849.81"/>
    <n v="9579.66"/>
    <n v="10530.12"/>
    <n v="12680.13"/>
    <n v="0"/>
    <n v="12881.66"/>
    <n v="0"/>
    <n v="0"/>
    <n v="0"/>
    <n v="0"/>
    <n v="0"/>
    <n v="6630.38"/>
    <n v="7450.87"/>
    <n v="9945.59"/>
    <n v="9835.2199999999993"/>
    <n v="12803.42"/>
    <n v="2324.5500000000002"/>
    <n v="10811.05"/>
    <n v="0"/>
    <n v="0"/>
    <n v="0"/>
    <n v="0"/>
    <n v="0"/>
    <n v="6630.38"/>
    <n v="7368.59"/>
    <n v="9945.59"/>
    <n v="9917.5"/>
    <n v="12803.42"/>
    <n v="2324.5500000000002"/>
    <n v="10811.05"/>
    <n v="0"/>
    <n v="0"/>
    <n v="0"/>
    <n v="0"/>
    <n v="0"/>
    <x v="0"/>
    <x v="10"/>
    <x v="10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6."/>
    <s v="5.ACTIVIDAD"/>
    <s v="5000046. BRINDAR ATENCION DEL PARTO COMPLICADO NO QUIRURGICO"/>
    <s v="20. SALUD"/>
    <s v="044. SALUD INDIVIDUAL"/>
    <s v="0097. ATENCION MEDICA ESPECIALIZADA"/>
    <s v="00001"/>
    <s v="0033296. ATENCION DEL PARTO COMPLICADO NO QUIRURGICO"/>
    <s v="00209 - PARTO COMPLICADO"/>
    <n v="1420"/>
    <n v="710"/>
    <n v="443"/>
    <n v="443"/>
    <x v="1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40215"/>
    <n v="0"/>
    <n v="40215"/>
    <n v="3929.67"/>
    <n v="3929.67"/>
    <n v="498.54"/>
    <n v="498.54"/>
    <n v="1173.04"/>
    <n v="0"/>
    <n v="0"/>
    <n v="0"/>
    <n v="1759.55"/>
    <n v="0"/>
    <n v="0"/>
    <n v="0"/>
    <n v="0"/>
    <n v="0"/>
    <n v="498.54"/>
    <n v="498.54"/>
    <n v="1173.04"/>
    <n v="0"/>
    <n v="0"/>
    <n v="0"/>
    <n v="1759.55"/>
    <n v="0"/>
    <n v="0"/>
    <n v="0"/>
    <n v="0"/>
    <n v="0"/>
    <n v="0"/>
    <n v="498.54"/>
    <n v="1671.58"/>
    <n v="0"/>
    <n v="0"/>
    <n v="0"/>
    <n v="1759.55"/>
    <n v="0"/>
    <n v="0"/>
    <n v="0"/>
    <n v="0"/>
    <n v="0"/>
    <n v="0"/>
    <n v="498.54"/>
    <n v="1671.58"/>
    <n v="0"/>
    <n v="0"/>
    <n v="0"/>
    <n v="0"/>
    <n v="0"/>
    <n v="0"/>
    <n v="0"/>
    <n v="0"/>
    <n v="0"/>
    <x v="0"/>
    <x v="10"/>
    <x v="10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7."/>
    <s v="5.ACTIVIDAD"/>
    <s v="5000047. BRINDAR ATENCION DEL PARTO COMPLICADO QUIRURGICO"/>
    <s v="20. SALUD"/>
    <s v="044. SALUD INDIVIDUAL"/>
    <s v="0097. ATENCION MEDICA ESPECIALIZADA"/>
    <s v="00001"/>
    <s v="0033297. ATENCION DEL PARTO COMPLICADO QUIRURGICO"/>
    <s v="00210 - CESAREA"/>
    <n v="1550"/>
    <n v="775"/>
    <n v="747"/>
    <n v="747"/>
    <x v="1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495959"/>
    <n v="120574"/>
    <n v="616533"/>
    <n v="498965.01"/>
    <n v="498965.01"/>
    <n v="39400.769999999997"/>
    <n v="66865.27"/>
    <n v="44520.84"/>
    <n v="46972.62"/>
    <n v="52738.67"/>
    <n v="189681.9"/>
    <n v="58784.94"/>
    <n v="0"/>
    <n v="0"/>
    <n v="0"/>
    <n v="0"/>
    <n v="0"/>
    <n v="39400.769999999997"/>
    <n v="66865.27"/>
    <n v="44520.84"/>
    <n v="44790.87"/>
    <n v="52738.67"/>
    <n v="189681.9"/>
    <n v="58784.94"/>
    <n v="0"/>
    <n v="0"/>
    <n v="0"/>
    <n v="0"/>
    <n v="0"/>
    <n v="32592.959999999999"/>
    <n v="56464.7"/>
    <n v="57378.95"/>
    <n v="43800.2"/>
    <n v="52338.38"/>
    <n v="175732.51"/>
    <n v="71936.899999999994"/>
    <n v="0"/>
    <n v="0"/>
    <n v="0"/>
    <n v="0"/>
    <n v="0"/>
    <n v="32592.959999999999"/>
    <n v="56206.18"/>
    <n v="57383.8"/>
    <n v="44036.07"/>
    <n v="52319.96"/>
    <n v="174559.49"/>
    <n v="66838.429999999993"/>
    <n v="0"/>
    <n v="0"/>
    <n v="0"/>
    <n v="0"/>
    <n v="0"/>
    <x v="0"/>
    <x v="10"/>
    <x v="10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8."/>
    <s v="5.ACTIVIDAD"/>
    <s v="5000048. ATENDER EL PUERPERIO"/>
    <s v="20. SALUD"/>
    <s v="044. SALUD INDIVIDUAL"/>
    <s v="0096. ATENCION MEDICA BASICA"/>
    <s v="00001"/>
    <s v="0033298. ATENCION DEL PUERPERIO"/>
    <s v="00628 - DELITO ATENDIDO"/>
    <n v="150"/>
    <n v="75"/>
    <n v="15"/>
    <n v="15"/>
    <x v="14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86086"/>
    <n v="0"/>
    <n v="86086"/>
    <n v="18856.939999999999"/>
    <n v="18856.939999999999"/>
    <n v="3323.98"/>
    <n v="8892.27"/>
    <n v="4529.18"/>
    <n v="0"/>
    <n v="2111.5100000000002"/>
    <n v="0"/>
    <n v="0"/>
    <n v="0"/>
    <n v="0"/>
    <n v="0"/>
    <n v="0"/>
    <n v="0"/>
    <n v="3323.98"/>
    <n v="8892.27"/>
    <n v="4529.18"/>
    <n v="0"/>
    <n v="2111.5100000000002"/>
    <n v="0"/>
    <n v="0"/>
    <n v="0"/>
    <n v="0"/>
    <n v="0"/>
    <n v="0"/>
    <n v="0"/>
    <n v="1870.66"/>
    <n v="3908.05"/>
    <n v="9562.44"/>
    <n v="1233.52"/>
    <n v="170.76"/>
    <n v="2111.5100000000002"/>
    <n v="0"/>
    <n v="0"/>
    <n v="0"/>
    <n v="0"/>
    <n v="0"/>
    <n v="0"/>
    <n v="1870.66"/>
    <n v="3890.61"/>
    <n v="9562.44"/>
    <n v="1250.96"/>
    <n v="170.76"/>
    <n v="2111.5100000000002"/>
    <n v="0"/>
    <n v="0"/>
    <n v="0"/>
    <n v="0"/>
    <n v="0"/>
    <n v="0"/>
    <x v="0"/>
    <x v="10"/>
    <x v="10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9."/>
    <s v="5.ACTIVIDAD"/>
    <s v="5000049. ATENDER EL PUERPERIO CON COMPLICACIONES"/>
    <s v="20. SALUD"/>
    <s v="044. SALUD INDIVIDUAL"/>
    <s v="0097. ATENCION MEDICA ESPECIALIZADA"/>
    <s v="00001"/>
    <s v="0033299. ATENCION DEL PUERPERIO CON COMPLICACIONES"/>
    <s v="00016 - CASO TRATADO"/>
    <n v="240"/>
    <n v="120"/>
    <n v="94"/>
    <n v="94"/>
    <x v="15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67674"/>
    <n v="0"/>
    <n v="67674"/>
    <n v="31035.69"/>
    <n v="31035.69"/>
    <n v="4769.1899999999996"/>
    <n v="5730.96"/>
    <n v="5001.33"/>
    <n v="5178.24"/>
    <n v="5295.12"/>
    <n v="0"/>
    <n v="5060.8500000000004"/>
    <n v="0"/>
    <n v="0"/>
    <n v="0"/>
    <n v="0"/>
    <n v="0"/>
    <n v="4769.1899999999996"/>
    <n v="5730.96"/>
    <n v="5001.33"/>
    <n v="5178.24"/>
    <n v="5295.12"/>
    <n v="0"/>
    <n v="5060.8500000000004"/>
    <n v="0"/>
    <n v="0"/>
    <n v="0"/>
    <n v="0"/>
    <n v="0"/>
    <n v="4399.83"/>
    <n v="5722.39"/>
    <n v="5115.78"/>
    <n v="5020.95"/>
    <n v="5343.3"/>
    <n v="372.59"/>
    <n v="4743.54"/>
    <n v="0"/>
    <n v="0"/>
    <n v="0"/>
    <n v="0"/>
    <n v="0"/>
    <n v="4399.83"/>
    <n v="5636.12"/>
    <n v="5115.78"/>
    <n v="5107.22"/>
    <n v="5343.3"/>
    <n v="372.59"/>
    <n v="4743.54"/>
    <n v="0"/>
    <n v="0"/>
    <n v="0"/>
    <n v="0"/>
    <n v="0"/>
    <x v="0"/>
    <x v="10"/>
    <x v="10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0."/>
    <s v="5.ACTIVIDAD"/>
    <s v="5000050. ATENDER COMPLICACIONES OBSTETRICAS EN UNIDAD DE CUIDADOS INTENSIVOS"/>
    <s v="20. SALUD"/>
    <s v="044. SALUD INDIVIDUAL"/>
    <s v="0097. ATENCION MEDICA ESPECIALIZADA"/>
    <s v="00001"/>
    <s v="0033300. ATENCION OBSTETRICA EN UNIDAD DE CUIDADOS INTENSIVOS"/>
    <s v="00016 - CASO TRATADO"/>
    <n v="68"/>
    <n v="34"/>
    <n v="16"/>
    <n v="16"/>
    <x v="16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190730"/>
    <n v="-24823"/>
    <n v="165907"/>
    <n v="90804.2"/>
    <n v="90804.2"/>
    <n v="13127.65"/>
    <n v="11233.76"/>
    <n v="13292.74"/>
    <n v="13578.1"/>
    <n v="15337.42"/>
    <n v="9214.08"/>
    <n v="15020.45"/>
    <n v="0"/>
    <n v="0"/>
    <n v="0"/>
    <n v="0"/>
    <n v="0"/>
    <n v="13127.65"/>
    <n v="11233.76"/>
    <n v="13292.74"/>
    <n v="13578.1"/>
    <n v="15337.42"/>
    <n v="9214.08"/>
    <n v="15020.45"/>
    <n v="0"/>
    <n v="0"/>
    <n v="0"/>
    <n v="0"/>
    <n v="0"/>
    <n v="10843.11"/>
    <n v="11267.1"/>
    <n v="13317.28"/>
    <n v="13494.53"/>
    <n v="15032.97"/>
    <n v="11828.76"/>
    <n v="12822.76"/>
    <n v="0"/>
    <n v="0"/>
    <n v="0"/>
    <n v="0"/>
    <n v="0"/>
    <n v="10843.11"/>
    <n v="11068.61"/>
    <n v="13317.28"/>
    <n v="13693.02"/>
    <n v="15032.97"/>
    <n v="11828.76"/>
    <n v="12822.76"/>
    <n v="0"/>
    <n v="0"/>
    <n v="0"/>
    <n v="0"/>
    <n v="0"/>
    <x v="0"/>
    <x v="10"/>
    <x v="10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5."/>
    <s v="5.ACTIVIDAD"/>
    <s v="5000053. ATENDER AL RECIEN NACIDO NORMAL"/>
    <s v="20. SALUD"/>
    <s v="044. SALUD INDIVIDUAL"/>
    <s v="0096. ATENCION MEDICA BASICA"/>
    <s v="00001"/>
    <s v="0033305. ATENCION DEL RECIEN NACIDO NORMAL"/>
    <s v="00239 - RECIEN NACIDO ATENDIDO"/>
    <n v="7546"/>
    <n v="3773"/>
    <n v="2820"/>
    <n v="2820"/>
    <x v="1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216155"/>
    <n v="-26000"/>
    <n v="190155"/>
    <n v="122192.56"/>
    <n v="122192.56"/>
    <n v="17452.7"/>
    <n v="14630.42"/>
    <n v="16371.45"/>
    <n v="13551.95"/>
    <n v="24727.93"/>
    <n v="13066.56"/>
    <n v="22391.55"/>
    <n v="0"/>
    <n v="0"/>
    <n v="0"/>
    <n v="0"/>
    <n v="0"/>
    <n v="17452.7"/>
    <n v="14630.42"/>
    <n v="16371.45"/>
    <n v="13551.95"/>
    <n v="24727.93"/>
    <n v="13066.56"/>
    <n v="22391.55"/>
    <n v="0"/>
    <n v="0"/>
    <n v="0"/>
    <n v="0"/>
    <n v="0"/>
    <n v="13704.86"/>
    <n v="14338.22"/>
    <n v="17412.259999999998"/>
    <n v="13297"/>
    <n v="21092.080000000002"/>
    <n v="19255.28"/>
    <n v="18508.07"/>
    <n v="0"/>
    <n v="0"/>
    <n v="0"/>
    <n v="0"/>
    <n v="0"/>
    <n v="13704.86"/>
    <n v="14203.42"/>
    <n v="17418.61"/>
    <n v="13425.45"/>
    <n v="21092.080000000002"/>
    <n v="19209"/>
    <n v="18508.07"/>
    <n v="0"/>
    <n v="0"/>
    <n v="0"/>
    <n v="0"/>
    <n v="0"/>
    <x v="0"/>
    <x v="10"/>
    <x v="10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6."/>
    <s v="5.ACTIVIDAD"/>
    <s v="5000054. ATENDER AL RECIEN NACIDO CON COMPLICACIONES"/>
    <s v="20. SALUD"/>
    <s v="044. SALUD INDIVIDUAL"/>
    <s v="0097. ATENCION MEDICA ESPECIALIZADA"/>
    <s v="00001"/>
    <s v="0033306. ATENCION DEL RECIEN NACIDO CON COMPLICACIONES"/>
    <s v="00016 - CASO TRATADO"/>
    <n v="2469"/>
    <n v="1234"/>
    <n v="728"/>
    <n v="728"/>
    <x v="1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209732"/>
    <n v="0"/>
    <n v="209732"/>
    <n v="152173.21"/>
    <n v="152173.21"/>
    <n v="16650.14"/>
    <n v="15787.59"/>
    <n v="12536.99"/>
    <n v="18919.88"/>
    <n v="16733.599999999999"/>
    <n v="52853.74"/>
    <n v="18691.27"/>
    <n v="0"/>
    <n v="0"/>
    <n v="0"/>
    <n v="0"/>
    <n v="0"/>
    <n v="16650.14"/>
    <n v="15787.59"/>
    <n v="12536.99"/>
    <n v="18919.88"/>
    <n v="16733.599999999999"/>
    <n v="52853.74"/>
    <n v="18691.27"/>
    <n v="0"/>
    <n v="0"/>
    <n v="0"/>
    <n v="0"/>
    <n v="0"/>
    <n v="13379.43"/>
    <n v="15865.35"/>
    <n v="13036.46"/>
    <n v="17785.72"/>
    <n v="17425.66"/>
    <n v="37285.86"/>
    <n v="33919.75"/>
    <n v="0"/>
    <n v="0"/>
    <n v="0"/>
    <n v="0"/>
    <n v="0"/>
    <n v="13379.43"/>
    <n v="15720.12"/>
    <n v="13036.46"/>
    <n v="17930.95"/>
    <n v="17425.66"/>
    <n v="37285.86"/>
    <n v="33919.75"/>
    <n v="0"/>
    <n v="0"/>
    <n v="0"/>
    <n v="0"/>
    <n v="0"/>
    <x v="0"/>
    <x v="10"/>
    <x v="10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7."/>
    <s v="5.ACTIVIDAD"/>
    <s v="5000055. ATENDER AL RECIEN NACIDO CON COMPLICACIONES QUE REQUIERE UNIDAD DE CUIDADOS INTENSIVOS NEONATALES - UCIN"/>
    <s v="20. SALUD"/>
    <s v="044. SALUD INDIVIDUAL"/>
    <s v="0097. ATENCION MEDICA ESPECIALIZADA"/>
    <s v="00001"/>
    <s v="0033307. ATENCION DEL RECIEN NACIDO CON COMPLICACIONES QUE REQUIERE UNIDAD DE CUIDADOS INTENSIVOS NEONATALES - UCIN"/>
    <s v="00016 - CASO TRATADO"/>
    <n v="1148"/>
    <n v="574"/>
    <n v="436"/>
    <n v="436"/>
    <x v="1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111095"/>
    <n v="0"/>
    <n v="111095"/>
    <n v="96759.39"/>
    <n v="96759.39"/>
    <n v="14445.38"/>
    <n v="13630.94"/>
    <n v="11066.98"/>
    <n v="11726.42"/>
    <n v="16720.46"/>
    <n v="12378.66"/>
    <n v="16790.55"/>
    <n v="0"/>
    <n v="0"/>
    <n v="0"/>
    <n v="0"/>
    <n v="0"/>
    <n v="14445.38"/>
    <n v="13630.94"/>
    <n v="11066.98"/>
    <n v="10372.41"/>
    <n v="16720.46"/>
    <n v="12378.66"/>
    <n v="16790.55"/>
    <n v="0"/>
    <n v="0"/>
    <n v="0"/>
    <n v="0"/>
    <n v="0"/>
    <n v="10958.66"/>
    <n v="13851.34"/>
    <n v="13068.58"/>
    <n v="10297.52"/>
    <n v="12595.34"/>
    <n v="17843.39"/>
    <n v="14029.64"/>
    <n v="0"/>
    <n v="0"/>
    <n v="0"/>
    <n v="0"/>
    <n v="0"/>
    <n v="10958.66"/>
    <n v="13777.51"/>
    <n v="13070.87"/>
    <n v="10369.06"/>
    <n v="12595.34"/>
    <n v="17843.39"/>
    <n v="12656.42"/>
    <n v="0"/>
    <n v="0"/>
    <n v="0"/>
    <n v="0"/>
    <n v="0"/>
    <x v="0"/>
    <x v="10"/>
    <x v="10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14."/>
    <s v="5.ACTIVIDAD"/>
    <s v="5004438. DIAGNOSTICO DE CASOS DE TUBERCULOSIS"/>
    <s v="20. SALUD"/>
    <s v="044. SALUD INDIVIDUAL"/>
    <s v="0096. ATENCION MEDICA BASICA"/>
    <s v="00001"/>
    <s v="0043964. DIAGNOSTICO DE CASOS DE TUBERCULOSIS"/>
    <s v="00393 - TASA"/>
    <n v="140"/>
    <n v="70"/>
    <n v="48"/>
    <n v="48"/>
    <x v="2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14708"/>
    <n v="0"/>
    <n v="14708"/>
    <n v="9083.1299999999992"/>
    <n v="9083.1299999999992"/>
    <n v="1381.02"/>
    <n v="366.7"/>
    <n v="1411.75"/>
    <n v="1565.44"/>
    <n v="1442.5"/>
    <n v="1534.7"/>
    <n v="1381.02"/>
    <n v="0"/>
    <n v="0"/>
    <n v="0"/>
    <n v="0"/>
    <n v="0"/>
    <n v="1381.02"/>
    <n v="366.7"/>
    <n v="1411.75"/>
    <n v="1565.44"/>
    <n v="1442.5"/>
    <n v="1534.7"/>
    <n v="1381.02"/>
    <n v="0"/>
    <n v="0"/>
    <n v="0"/>
    <n v="0"/>
    <n v="0"/>
    <n v="521.45000000000005"/>
    <n v="1009.56"/>
    <n v="782.64"/>
    <n v="1462.89"/>
    <n v="1521.52"/>
    <n v="2376.48"/>
    <n v="581.89"/>
    <n v="0"/>
    <n v="0"/>
    <n v="0"/>
    <n v="0"/>
    <n v="0"/>
    <n v="521.45000000000005"/>
    <n v="1006.44"/>
    <n v="785.76"/>
    <n v="1462.89"/>
    <n v="1521.52"/>
    <n v="2044.93"/>
    <n v="581.89"/>
    <n v="0"/>
    <n v="0"/>
    <n v="0"/>
    <n v="0"/>
    <n v="0"/>
    <x v="0"/>
    <x v="10"/>
    <x v="10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70."/>
    <s v="5.ACTIVIDAD"/>
    <s v="5000080. BRINDAR TRATAMIENTO OPORTUNO A MUJERES GESTANTES REACTIVAS Y NIÑOS EXPUESTOS AL VIH"/>
    <s v="20. SALUD"/>
    <s v="044. SALUD INDIVIDUAL"/>
    <s v="0096. ATENCION MEDICA BASICA"/>
    <s v="00001"/>
    <s v="0136039. BRINDAR TRATAMIENTO OPORTUNO A MUJERES GESTANTES REACTIVAS Y NIÑOS EXPUESTOS AL VIH"/>
    <s v="00207 - GESTANTE ATENDIDA"/>
    <n v="13"/>
    <n v="7"/>
    <n v="6"/>
    <n v="6"/>
    <x v="21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8893"/>
    <n v="0"/>
    <n v="8893"/>
    <n v="5236.93"/>
    <n v="5236.93"/>
    <n v="1086.9100000000001"/>
    <n v="1086.9100000000001"/>
    <n v="988.1"/>
    <n v="0"/>
    <n v="2075.0100000000002"/>
    <n v="0"/>
    <n v="0"/>
    <n v="0"/>
    <n v="0"/>
    <n v="0"/>
    <n v="0"/>
    <n v="0"/>
    <n v="1086.9100000000001"/>
    <n v="1086.9100000000001"/>
    <n v="988.1"/>
    <n v="0"/>
    <n v="2075.0100000000002"/>
    <n v="0"/>
    <n v="0"/>
    <n v="0"/>
    <n v="0"/>
    <n v="0"/>
    <n v="0"/>
    <n v="0"/>
    <n v="1036.92"/>
    <n v="1071.75"/>
    <n v="972.27"/>
    <n v="80.98"/>
    <n v="0"/>
    <n v="2075.0100000000002"/>
    <n v="0"/>
    <n v="0"/>
    <n v="0"/>
    <n v="0"/>
    <n v="0"/>
    <n v="0"/>
    <n v="1036.92"/>
    <n v="1071.75"/>
    <n v="972.27"/>
    <n v="80.98"/>
    <n v="0"/>
    <n v="2075.0100000000002"/>
    <n v="0"/>
    <n v="0"/>
    <n v="0"/>
    <n v="0"/>
    <n v="0"/>
    <n v="0"/>
    <x v="0"/>
    <x v="10"/>
    <x v="10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2."/>
    <s v="5.ACTIVIDAD"/>
    <s v="5000110. BRINDAR TRATAMIENTO A PACIENTES CON DIAGNOSTICO DE CATARATAS"/>
    <s v="20. SALUD"/>
    <s v="044. SALUD INDIVIDUAL"/>
    <s v="0097. ATENCION MEDICA ESPECIALIZADA"/>
    <s v="00001"/>
    <s v="0135994. BRINDAR TRATAMIENTO A PACIENTES CON DIAGNOSTICO DE CATARATAS"/>
    <s v="00394 - TECNICO"/>
    <n v="648"/>
    <n v="324"/>
    <n v="141"/>
    <n v="141"/>
    <x v="2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23800"/>
    <n v="0"/>
    <n v="23800"/>
    <n v="10367.459999999999"/>
    <n v="10367.459999999999"/>
    <n v="1565.51"/>
    <n v="2480.15"/>
    <n v="1514.26"/>
    <n v="1602.18"/>
    <n v="1602.18"/>
    <n v="0"/>
    <n v="1603.18"/>
    <n v="0"/>
    <n v="0"/>
    <n v="0"/>
    <n v="0"/>
    <n v="0"/>
    <n v="1565.51"/>
    <n v="2480.15"/>
    <n v="1514.26"/>
    <n v="1602.18"/>
    <n v="1602.18"/>
    <n v="0"/>
    <n v="1603.18"/>
    <n v="0"/>
    <n v="0"/>
    <n v="0"/>
    <n v="0"/>
    <n v="0"/>
    <n v="1104.3"/>
    <n v="2427.23"/>
    <n v="1665.15"/>
    <n v="1437.02"/>
    <n v="1663.55"/>
    <n v="467.03"/>
    <n v="1175.5899999999999"/>
    <n v="0"/>
    <n v="0"/>
    <n v="0"/>
    <n v="0"/>
    <n v="0"/>
    <n v="1104.3"/>
    <n v="2371.0300000000002"/>
    <n v="1665.15"/>
    <n v="1493.22"/>
    <n v="1663.55"/>
    <n v="467.03"/>
    <n v="1175.5899999999999"/>
    <n v="0"/>
    <n v="0"/>
    <n v="0"/>
    <n v="0"/>
    <n v="0"/>
    <x v="0"/>
    <x v="10"/>
    <x v="10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6."/>
    <s v="5.ACTIVIDAD"/>
    <s v="5000114. BRINDAR TRATAMIENTO A PERSONAS CON DIAGNOSTICO DE HIPERTENSION ARTERIAL"/>
    <s v="20. SALUD"/>
    <s v="044. SALUD INDIVIDUAL"/>
    <s v="0097. ATENCION MEDICA ESPECIALIZADA"/>
    <s v="00001"/>
    <s v="0135998. BRINDAR TRATAMIENTO A PERSONAS CON DIAGNOSTICO DE HIPERTENSION ARTERIAL"/>
    <s v="00394 - TECNICO"/>
    <n v="771"/>
    <n v="385"/>
    <n v="382"/>
    <n v="382"/>
    <x v="2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19752"/>
    <n v="0"/>
    <n v="19752"/>
    <n v="13535.76"/>
    <n v="13535.76"/>
    <n v="0"/>
    <n v="13535.76"/>
    <n v="0"/>
    <n v="0"/>
    <n v="0"/>
    <n v="0"/>
    <n v="0"/>
    <n v="0"/>
    <n v="0"/>
    <n v="0"/>
    <n v="0"/>
    <n v="0"/>
    <n v="0"/>
    <n v="13535.76"/>
    <n v="0"/>
    <n v="0"/>
    <n v="0"/>
    <n v="0"/>
    <n v="0"/>
    <n v="0"/>
    <n v="0"/>
    <n v="0"/>
    <n v="0"/>
    <n v="0"/>
    <n v="0"/>
    <n v="9917.9"/>
    <n v="3617.86"/>
    <n v="0"/>
    <n v="0"/>
    <n v="0"/>
    <n v="0"/>
    <n v="0"/>
    <n v="0"/>
    <n v="0"/>
    <n v="0"/>
    <n v="0"/>
    <n v="0"/>
    <n v="9917.9"/>
    <n v="3148.64"/>
    <n v="469.22"/>
    <n v="0"/>
    <n v="0"/>
    <n v="0"/>
    <n v="0"/>
    <n v="0"/>
    <n v="0"/>
    <n v="0"/>
    <n v="0"/>
    <x v="0"/>
    <x v="10"/>
    <x v="10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65."/>
    <s v="5.ACTIVIDAD"/>
    <s v="5006012. DIAGNOSTICO DEL CANCER DE CUELLO UTERINO"/>
    <s v="20. SALUD"/>
    <s v="044. SALUD INDIVIDUAL"/>
    <s v="0097. ATENCION MEDICA ESPECIALIZADA"/>
    <s v="00001"/>
    <s v="0215085. DIAGNOSTICO DEL CANCER DE CUELLO UTERINO"/>
    <s v="00393 - TASA"/>
    <n v="128"/>
    <n v="64"/>
    <n v="17"/>
    <n v="17"/>
    <x v="25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19908"/>
    <n v="0"/>
    <n v="19908"/>
    <n v="11681.08"/>
    <n v="11681.08"/>
    <n v="10136.27"/>
    <n v="0"/>
    <n v="0"/>
    <n v="0"/>
    <n v="0"/>
    <n v="0"/>
    <n v="1544.81"/>
    <n v="0"/>
    <n v="0"/>
    <n v="0"/>
    <n v="0"/>
    <n v="0"/>
    <n v="10136.27"/>
    <n v="0"/>
    <n v="0"/>
    <n v="0"/>
    <n v="0"/>
    <n v="0"/>
    <n v="1544.81"/>
    <n v="0"/>
    <n v="0"/>
    <n v="0"/>
    <n v="0"/>
    <n v="0"/>
    <n v="8526.51"/>
    <n v="1609.76"/>
    <n v="0"/>
    <n v="0"/>
    <n v="0"/>
    <n v="0"/>
    <n v="1544.81"/>
    <n v="0"/>
    <n v="0"/>
    <n v="0"/>
    <n v="0"/>
    <n v="0"/>
    <n v="8526.51"/>
    <n v="1609.76"/>
    <n v="0"/>
    <n v="0"/>
    <n v="0"/>
    <n v="0"/>
    <n v="0"/>
    <n v="0"/>
    <n v="0"/>
    <n v="0"/>
    <n v="0"/>
    <n v="0"/>
    <x v="0"/>
    <x v="10"/>
    <x v="10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734."/>
    <s v="5.ACTIVIDAD"/>
    <s v="5005612. DESARROLLO DE LOS CENTROS Y ESPACIOS DE MONITOREO DE EMERGENCIAS Y DESASTRES"/>
    <s v="20. SALUD"/>
    <s v="016. GESTION DE RIESGOS Y EMERGENCIAS"/>
    <s v="0036. ATENCION INMEDIATA DE DESASTRES"/>
    <s v="00001"/>
    <s v="0160879. DESARROLLO DE LOS CENTROS Y ESPACIOS DE MONITOREO DE EMERGENCIAS Y DESASTRES"/>
    <s v="00248 - REPORTE"/>
    <n v="12"/>
    <n v="6"/>
    <n v="6"/>
    <n v="6"/>
    <x v="26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5812"/>
    <n v="0"/>
    <n v="58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0"/>
    <x v="10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2824. ATENCION AMBULATORIA DE URGENCIAS (PRIORIDAD III O IV) EN MODULOS HOSPITALARIOS DIFERENCIADOS AUTORIZADOS"/>
    <s v="20. SALUD"/>
    <s v="044. SALUD INDIVIDUAL"/>
    <s v="0096. ATENCION MEDICA BASICA"/>
    <s v="00001"/>
    <s v="0076144. ATENCION AMBULATORIA DE URGENCIAS (PRIORIDAD III O IV) EN MODULOS HOSPITALARIOS DIFERENCIADOS AUTORIZADOS"/>
    <s v="00006 - ATENCION"/>
    <n v="2000"/>
    <n v="1000"/>
    <n v="1994"/>
    <n v="1994"/>
    <x v="2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171919"/>
    <n v="57661"/>
    <n v="229580"/>
    <n v="181100.11"/>
    <n v="181100.11"/>
    <n v="11525.09"/>
    <n v="9192.02"/>
    <n v="21616.7"/>
    <n v="2346.0700000000002"/>
    <n v="17323.07"/>
    <n v="102936.44"/>
    <n v="16160.72"/>
    <n v="0"/>
    <n v="0"/>
    <n v="0"/>
    <n v="0"/>
    <n v="0"/>
    <n v="11525.09"/>
    <n v="9192.02"/>
    <n v="21616.7"/>
    <n v="2346.0700000000002"/>
    <n v="17323.07"/>
    <n v="102936.44"/>
    <n v="16160.72"/>
    <n v="0"/>
    <n v="0"/>
    <n v="0"/>
    <n v="0"/>
    <n v="0"/>
    <n v="7092.32"/>
    <n v="10826.99"/>
    <n v="20310.43"/>
    <n v="6069.66"/>
    <n v="14672.73"/>
    <n v="105967.26"/>
    <n v="14044.98"/>
    <n v="0"/>
    <n v="0"/>
    <n v="0"/>
    <n v="0"/>
    <n v="0"/>
    <n v="7092.32"/>
    <n v="10769.28"/>
    <n v="20310.43"/>
    <n v="6127.37"/>
    <n v="14672.73"/>
    <n v="105419.01"/>
    <n v="12520"/>
    <n v="0"/>
    <n v="0"/>
    <n v="0"/>
    <n v="0"/>
    <n v="0"/>
    <x v="0"/>
    <x v="10"/>
    <x v="10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3. ATENCION DE LA EMERGENCIA Y URGENCIA ESPECIALIZADA"/>
    <s v="20. SALUD"/>
    <s v="044. SALUD INDIVIDUAL"/>
    <s v="0097. ATENCION MEDICA ESPECIALIZADA"/>
    <s v="00001"/>
    <s v="0188299. ATENCION DE LA EMERGENCIA Y URGENCIA ESPECIALIZADA"/>
    <s v="00006 - ATENCION"/>
    <n v="25000"/>
    <n v="12500"/>
    <n v="7470"/>
    <n v="7470"/>
    <x v="2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939266"/>
    <n v="28317"/>
    <n v="967583"/>
    <n v="686309.81"/>
    <n v="686309.81"/>
    <n v="80520.710000000006"/>
    <n v="93969.37"/>
    <n v="70329.97"/>
    <n v="178156.92"/>
    <n v="122697.13"/>
    <n v="0"/>
    <n v="140635.71"/>
    <n v="0"/>
    <n v="0"/>
    <n v="0"/>
    <n v="0"/>
    <n v="0"/>
    <n v="80520.710000000006"/>
    <n v="93969.37"/>
    <n v="70329.97"/>
    <n v="160998.51"/>
    <n v="122697.13"/>
    <n v="0"/>
    <n v="140635.71"/>
    <n v="0"/>
    <n v="0"/>
    <n v="0"/>
    <n v="0"/>
    <n v="0"/>
    <n v="67859.56"/>
    <n v="91857.7"/>
    <n v="76157.25"/>
    <n v="151981.04999999999"/>
    <n v="117523.5"/>
    <n v="23136.63"/>
    <n v="124171.73"/>
    <n v="0"/>
    <n v="0"/>
    <n v="0"/>
    <n v="0"/>
    <n v="0"/>
    <n v="67859.56"/>
    <n v="91293.41"/>
    <n v="76186.789999999994"/>
    <n v="151570.09"/>
    <n v="117523.5"/>
    <n v="21901.18"/>
    <n v="95191.83"/>
    <n v="0"/>
    <n v="0"/>
    <n v="0"/>
    <n v="0"/>
    <n v="0"/>
    <x v="0"/>
    <x v="10"/>
    <x v="10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4. ATENCION DE LA EMERGENCIA DE CUIDADOS INTENSIVOS"/>
    <s v="20. SALUD"/>
    <s v="044. SALUD INDIVIDUAL"/>
    <s v="0097. ATENCION MEDICA ESPECIALIZADA"/>
    <s v="00001"/>
    <s v="0188300. ATENCION DE LA EMERGENCIA DE CUIDADOS INTENSIVOS"/>
    <s v="00006 - ATENCION"/>
    <n v="400"/>
    <n v="200"/>
    <n v="128"/>
    <n v="128"/>
    <x v="2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152493"/>
    <n v="132000"/>
    <n v="284493"/>
    <n v="157729.12"/>
    <n v="157729.12"/>
    <n v="25597.98"/>
    <n v="33455.99"/>
    <n v="0"/>
    <n v="14999.73"/>
    <n v="41384.67"/>
    <n v="0"/>
    <n v="42290.75"/>
    <n v="0"/>
    <n v="0"/>
    <n v="0"/>
    <n v="0"/>
    <n v="0"/>
    <n v="25597.98"/>
    <n v="33455.99"/>
    <n v="0"/>
    <n v="14999.73"/>
    <n v="41384.67"/>
    <n v="0"/>
    <n v="42290.75"/>
    <n v="0"/>
    <n v="0"/>
    <n v="0"/>
    <n v="0"/>
    <n v="0"/>
    <n v="19911.04"/>
    <n v="27499.93"/>
    <n v="11643"/>
    <n v="11698.92"/>
    <n v="36769.56"/>
    <n v="7915.92"/>
    <n v="34895.919999999998"/>
    <n v="0"/>
    <n v="0"/>
    <n v="0"/>
    <n v="0"/>
    <n v="0"/>
    <n v="19911.04"/>
    <n v="27365.81"/>
    <n v="11649.11"/>
    <n v="11826.93"/>
    <n v="36769.56"/>
    <n v="7915.92"/>
    <n v="33784.01"/>
    <n v="0"/>
    <n v="0"/>
    <n v="0"/>
    <n v="0"/>
    <n v="0"/>
    <x v="0"/>
    <x v="10"/>
    <x v="10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5. ATENCION DE LA EMERGENCIA QUIRURGICA"/>
    <s v="20. SALUD"/>
    <s v="044. SALUD INDIVIDUAL"/>
    <s v="0097. ATENCION MEDICA ESPECIALIZADA"/>
    <s v="00001"/>
    <s v="0188301. ATENCION DE LA EMERGENCIA QUIRURGICA"/>
    <s v="00006 - ATENCION"/>
    <n v="3000"/>
    <n v="1500"/>
    <n v="1405"/>
    <n v="1405"/>
    <x v="3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582289"/>
    <n v="0"/>
    <n v="582289"/>
    <n v="419785.18"/>
    <n v="419785.18"/>
    <n v="51565.42"/>
    <n v="59392.53"/>
    <n v="86249.61"/>
    <n v="67759.44"/>
    <n v="77658.05"/>
    <n v="0"/>
    <n v="77160.13"/>
    <n v="0"/>
    <n v="0"/>
    <n v="0"/>
    <n v="0"/>
    <n v="0"/>
    <n v="51565.42"/>
    <n v="59392.53"/>
    <n v="86249.61"/>
    <n v="65413.36"/>
    <n v="77658.05"/>
    <n v="0"/>
    <n v="77160.13"/>
    <n v="0"/>
    <n v="0"/>
    <n v="0"/>
    <n v="0"/>
    <n v="0"/>
    <n v="36170.449999999997"/>
    <n v="57470.71"/>
    <n v="90347.73"/>
    <n v="65124.62"/>
    <n v="73435"/>
    <n v="17202.59"/>
    <n v="64032.77"/>
    <n v="0"/>
    <n v="0"/>
    <n v="0"/>
    <n v="0"/>
    <n v="0"/>
    <n v="36170.449999999997"/>
    <n v="57085.93"/>
    <n v="86900.69"/>
    <n v="65316.84"/>
    <n v="73430.210000000006"/>
    <n v="19665.990000000002"/>
    <n v="59267.4"/>
    <n v="0"/>
    <n v="0"/>
    <n v="0"/>
    <n v="0"/>
    <n v="0"/>
    <x v="0"/>
    <x v="10"/>
    <x v="10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0"/>
    <s v=" ."/>
    <s v="3000688."/>
    <s v="5.ACTIVIDAD"/>
    <s v="5004449. CAPACITACION EN MEDICINA DE REHABILITACION"/>
    <s v="20. SALUD"/>
    <s v="044. SALUD INDIVIDUAL"/>
    <s v="0097. ATENCION MEDICA ESPECIALIZADA"/>
    <s v="00001"/>
    <s v="0136018. CAPACITACION EN MEDICINA DE REHABILITACION"/>
    <s v="00088 - PERSONA CAPACITADA"/>
    <n v="60"/>
    <n v="30"/>
    <n v="0"/>
    <n v="0"/>
    <x v="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4540"/>
    <n v="1864"/>
    <n v="6404"/>
    <n v="4482.24"/>
    <n v="4482.24"/>
    <n v="640.32000000000005"/>
    <n v="640.32000000000005"/>
    <n v="640.32000000000005"/>
    <n v="640.32000000000005"/>
    <n v="640.32000000000005"/>
    <n v="640.32000000000005"/>
    <n v="640.32000000000005"/>
    <n v="0"/>
    <n v="0"/>
    <n v="0"/>
    <n v="0"/>
    <n v="0"/>
    <n v="640.32000000000005"/>
    <n v="640.32000000000005"/>
    <n v="640.32000000000005"/>
    <n v="640.32000000000005"/>
    <n v="640.32000000000005"/>
    <n v="640.32000000000005"/>
    <n v="640.32000000000005"/>
    <n v="0"/>
    <n v="0"/>
    <n v="0"/>
    <n v="0"/>
    <n v="0"/>
    <n v="452.22"/>
    <n v="615.80999999999995"/>
    <n v="683.04"/>
    <n v="607.63"/>
    <n v="633.12"/>
    <n v="850.1"/>
    <n v="442.65"/>
    <n v="0"/>
    <n v="0"/>
    <n v="0"/>
    <n v="0"/>
    <n v="0"/>
    <n v="452.22"/>
    <n v="597.37"/>
    <n v="684.53"/>
    <n v="624.58000000000004"/>
    <n v="633.12"/>
    <n v="850.1"/>
    <n v="442.65"/>
    <n v="0"/>
    <n v="0"/>
    <n v="0"/>
    <n v="0"/>
    <n v="0"/>
    <x v="0"/>
    <x v="10"/>
    <x v="10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698."/>
    <s v="5.ACTIVIDAD"/>
    <s v="5005188. TAMIZAJE DE PERSONAS CON TRASTORNOS MENTALES Y PROBLEMAS PSICOSOCIALES"/>
    <s v="20. SALUD"/>
    <s v="044. SALUD INDIVIDUAL"/>
    <s v="0096. ATENCION MEDICA BASICA"/>
    <s v="00001"/>
    <s v="0136780. TAMIZAJE DE PERSONAS CON TRASTORNOS MENTALES Y PROBLEMAS PSICOSOCIALES"/>
    <s v="00438 - PULGADAS"/>
    <n v="310"/>
    <n v="155"/>
    <n v="273"/>
    <n v="273"/>
    <x v="31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35852"/>
    <n v="0"/>
    <n v="35852"/>
    <n v="21848.69"/>
    <n v="21848.69"/>
    <n v="3315.63"/>
    <n v="3673.9"/>
    <n v="3673.9"/>
    <n v="3705.34"/>
    <n v="3504.29"/>
    <n v="0"/>
    <n v="3975.63"/>
    <n v="0"/>
    <n v="0"/>
    <n v="0"/>
    <n v="0"/>
    <n v="0"/>
    <n v="3315.63"/>
    <n v="3673.9"/>
    <n v="3673.9"/>
    <n v="3705.34"/>
    <n v="3504.29"/>
    <n v="0"/>
    <n v="3975.63"/>
    <n v="0"/>
    <n v="0"/>
    <n v="0"/>
    <n v="0"/>
    <n v="0"/>
    <n v="3012.25"/>
    <n v="3381.11"/>
    <n v="3697.93"/>
    <n v="3696.98"/>
    <n v="3465.1"/>
    <n v="619.69000000000005"/>
    <n v="3373.85"/>
    <n v="0"/>
    <n v="0"/>
    <n v="0"/>
    <n v="0"/>
    <n v="0"/>
    <n v="3012.25"/>
    <n v="3378.86"/>
    <n v="3700.18"/>
    <n v="3696.98"/>
    <n v="3465.1"/>
    <n v="619.69000000000005"/>
    <n v="3373.85"/>
    <n v="0"/>
    <n v="0"/>
    <n v="0"/>
    <n v="0"/>
    <n v="0"/>
    <x v="0"/>
    <x v="10"/>
    <x v="10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1281"/>
    <n v="0"/>
    <n v="12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0"/>
    <x v="10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5. GESTION DE RECURSOS HUMANOS"/>
    <s v="20. SALUD"/>
    <s v="006. GESTION"/>
    <s v="0011. PREPARACION Y PERFECCIONAMIENTO DE RECURSOS HUMANOS"/>
    <s v="00001"/>
    <s v="0053571. GESTION DE RECURSOS HUMANOS"/>
    <s v="00001 - ACCION"/>
    <n v="2426"/>
    <n v="1213"/>
    <n v="124"/>
    <n v="124"/>
    <x v="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247609"/>
    <n v="-32523"/>
    <n v="215086"/>
    <n v="21528.37"/>
    <n v="21528.37"/>
    <n v="0"/>
    <n v="0"/>
    <n v="0"/>
    <n v="3929.01"/>
    <n v="5925.68"/>
    <n v="4484.25"/>
    <n v="7189.43"/>
    <n v="0"/>
    <n v="0"/>
    <n v="0"/>
    <n v="0"/>
    <n v="0"/>
    <n v="0"/>
    <n v="0"/>
    <n v="0"/>
    <n v="3929.01"/>
    <n v="5925.68"/>
    <n v="4484.25"/>
    <n v="7189.43"/>
    <n v="0"/>
    <n v="0"/>
    <n v="0"/>
    <n v="0"/>
    <n v="0"/>
    <n v="0"/>
    <n v="0"/>
    <n v="0"/>
    <n v="3418.2"/>
    <n v="3366.48"/>
    <n v="7554.26"/>
    <n v="6548.84"/>
    <n v="0"/>
    <n v="0"/>
    <n v="0"/>
    <n v="0"/>
    <n v="0"/>
    <n v="0"/>
    <n v="0"/>
    <n v="0"/>
    <n v="3418.2"/>
    <n v="3366.48"/>
    <n v="7554.26"/>
    <n v="2779.79"/>
    <n v="0"/>
    <n v="0"/>
    <n v="0"/>
    <n v="0"/>
    <n v="0"/>
    <x v="0"/>
    <x v="10"/>
    <x v="10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377. MEJORAMIENTO DE LA OFERTA DE LOS SERVICIOS DE SALUD"/>
    <s v="20. SALUD"/>
    <s v="044. SALUD INDIVIDUAL"/>
    <s v="0097. ATENCION MEDICA ESPECIALIZADA"/>
    <s v="00001"/>
    <s v="0006831. MEJORAR LA ATENCION A LA POBLACION"/>
    <s v="00006 - ATENCION"/>
    <n v="2400"/>
    <n v="1200"/>
    <n v="940"/>
    <n v="940"/>
    <x v="3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26032"/>
    <n v="24429"/>
    <n v="50461"/>
    <n v="27739.759999999998"/>
    <n v="27739.759999999998"/>
    <n v="3792.65"/>
    <n v="4935.34"/>
    <n v="2847.56"/>
    <n v="6047.32"/>
    <n v="4972.5600000000004"/>
    <n v="0"/>
    <n v="5144.33"/>
    <n v="0"/>
    <n v="0"/>
    <n v="0"/>
    <n v="0"/>
    <n v="0"/>
    <n v="3792.65"/>
    <n v="4935.34"/>
    <n v="2847.56"/>
    <n v="4699.6400000000003"/>
    <n v="4972.5600000000004"/>
    <n v="0"/>
    <n v="5144.33"/>
    <n v="0"/>
    <n v="0"/>
    <n v="0"/>
    <n v="0"/>
    <n v="0"/>
    <n v="2733.94"/>
    <n v="5507.16"/>
    <n v="2906.88"/>
    <n v="4819.43"/>
    <n v="4733.84"/>
    <n v="546.5"/>
    <n v="4652.72"/>
    <n v="0"/>
    <n v="0"/>
    <n v="0"/>
    <n v="0"/>
    <n v="0"/>
    <n v="2733.94"/>
    <n v="5493.28"/>
    <n v="2906.88"/>
    <n v="4833.3100000000004"/>
    <n v="4733.84"/>
    <n v="276.89"/>
    <n v="4652.72"/>
    <n v="0"/>
    <n v="0"/>
    <n v="0"/>
    <n v="0"/>
    <n v="0"/>
    <x v="0"/>
    <x v="10"/>
    <x v="10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00. ATENCION BASICA DE SALUD"/>
    <s v="20. SALUD"/>
    <s v="044. SALUD INDIVIDUAL"/>
    <s v="0096. ATENCION MEDICA BASICA"/>
    <s v="00001"/>
    <s v="0000251. ATENCION BASICA"/>
    <s v="00006 - ATENCION"/>
    <n v="200000"/>
    <n v="100000"/>
    <n v="78000"/>
    <n v="78000"/>
    <x v="3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340856"/>
    <n v="0"/>
    <n v="340856"/>
    <n v="1100.0999999999999"/>
    <n v="1100.0999999999999"/>
    <n v="366.7"/>
    <n v="366.7"/>
    <n v="366.7"/>
    <n v="0"/>
    <n v="0"/>
    <n v="0"/>
    <n v="0"/>
    <n v="0"/>
    <n v="0"/>
    <n v="0"/>
    <n v="0"/>
    <n v="0"/>
    <n v="366.7"/>
    <n v="366.7"/>
    <n v="366.7"/>
    <n v="0"/>
    <n v="0"/>
    <n v="0"/>
    <n v="0"/>
    <n v="0"/>
    <n v="0"/>
    <n v="0"/>
    <n v="0"/>
    <n v="0"/>
    <n v="347.8"/>
    <n v="366.34"/>
    <n v="373.69"/>
    <n v="6.3"/>
    <n v="5.97"/>
    <n v="0"/>
    <n v="0"/>
    <n v="0"/>
    <n v="0"/>
    <n v="0"/>
    <n v="0"/>
    <n v="0"/>
    <n v="347.8"/>
    <n v="360.37"/>
    <n v="373.69"/>
    <n v="12.27"/>
    <n v="5.97"/>
    <n v="0"/>
    <n v="0"/>
    <n v="0"/>
    <n v="0"/>
    <n v="0"/>
    <n v="0"/>
    <n v="0"/>
    <x v="0"/>
    <x v="10"/>
    <x v="10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10. ATENCION ESPECIALIZADA DE LA SALUD"/>
    <s v="20. SALUD"/>
    <s v="044. SALUD INDIVIDUAL"/>
    <s v="0097. ATENCION MEDICA ESPECIALIZADA"/>
    <s v="00001"/>
    <s v="0023484. ATENCION MEDICA ESPECIALIZADA"/>
    <s v="00006 - ATENCION"/>
    <n v="150000"/>
    <n v="75000"/>
    <n v="26347"/>
    <n v="26347"/>
    <x v="34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767772"/>
    <n v="-56285"/>
    <n v="711487"/>
    <n v="25414.78"/>
    <n v="25414.78"/>
    <n v="3195.64"/>
    <n v="3071.63"/>
    <n v="0"/>
    <n v="6280.72"/>
    <n v="6360.44"/>
    <n v="0"/>
    <n v="6506.35"/>
    <n v="0"/>
    <n v="0"/>
    <n v="0"/>
    <n v="0"/>
    <n v="0"/>
    <n v="3195.64"/>
    <n v="3071.63"/>
    <n v="0"/>
    <n v="3140.36"/>
    <n v="6360.44"/>
    <n v="0"/>
    <n v="6506.35"/>
    <n v="0"/>
    <n v="0"/>
    <n v="0"/>
    <n v="0"/>
    <n v="0"/>
    <n v="2839.76"/>
    <n v="3078.77"/>
    <n v="348.74"/>
    <n v="2763.48"/>
    <n v="6094.97"/>
    <n v="642.35"/>
    <n v="5843.63"/>
    <n v="0"/>
    <n v="0"/>
    <n v="0"/>
    <n v="0"/>
    <n v="0"/>
    <n v="2839.76"/>
    <n v="2946.01"/>
    <n v="377.07"/>
    <n v="2867.91"/>
    <n v="6092.14"/>
    <n v="645.17999999999995"/>
    <n v="5843.63"/>
    <n v="0"/>
    <n v="0"/>
    <n v="0"/>
    <n v="0"/>
    <n v="0"/>
    <x v="0"/>
    <x v="10"/>
    <x v="10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2. ATENCION EN CONSULTAS EXTERNAS"/>
    <s v="20. SALUD"/>
    <s v="044. SALUD INDIVIDUAL"/>
    <s v="0097. ATENCION MEDICA ESPECIALIZADA"/>
    <s v="00001"/>
    <s v="0000266. ATENCION EN CONSULTAS EXTERNAS"/>
    <s v="00006 - ATENCION"/>
    <n v="150000"/>
    <n v="75000"/>
    <n v="31583"/>
    <n v="31583"/>
    <x v="35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58576"/>
    <n v="0"/>
    <n v="58576"/>
    <n v="33555.29"/>
    <n v="33555.29"/>
    <n v="5268.98"/>
    <n v="7514.82"/>
    <n v="5525.06"/>
    <n v="5852.76"/>
    <n v="3993.58"/>
    <n v="0"/>
    <n v="5400.09"/>
    <n v="0"/>
    <n v="0"/>
    <n v="0"/>
    <n v="0"/>
    <n v="0"/>
    <n v="5268.98"/>
    <n v="7514.82"/>
    <n v="5525.06"/>
    <n v="5852.76"/>
    <n v="3993.58"/>
    <n v="0"/>
    <n v="5400.09"/>
    <n v="0"/>
    <n v="0"/>
    <n v="0"/>
    <n v="0"/>
    <n v="0"/>
    <n v="4967.7700000000004"/>
    <n v="3497.74"/>
    <n v="9562.6200000000008"/>
    <n v="5819.93"/>
    <n v="4005.38"/>
    <n v="301.76"/>
    <n v="5055.88"/>
    <n v="0"/>
    <n v="0"/>
    <n v="0"/>
    <n v="0"/>
    <n v="0"/>
    <n v="4967.7700000000004"/>
    <n v="3497.74"/>
    <n v="9562.6200000000008"/>
    <n v="5819.93"/>
    <n v="4005.38"/>
    <n v="301.76"/>
    <n v="5055.88"/>
    <n v="0"/>
    <n v="0"/>
    <n v="0"/>
    <n v="0"/>
    <n v="0"/>
    <x v="0"/>
    <x v="10"/>
    <x v="10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382956"/>
    <n v="-49000"/>
    <n v="333956"/>
    <n v="172067.7"/>
    <n v="172067.7"/>
    <n v="19551.98"/>
    <n v="25874.240000000002"/>
    <n v="10391.969999999999"/>
    <n v="37034"/>
    <n v="25274.85"/>
    <n v="21758.65"/>
    <n v="32182.01"/>
    <n v="0"/>
    <n v="0"/>
    <n v="0"/>
    <n v="0"/>
    <n v="0"/>
    <n v="19551.98"/>
    <n v="25874.240000000002"/>
    <n v="10391.969999999999"/>
    <n v="27511.58"/>
    <n v="25274.85"/>
    <n v="21758.65"/>
    <n v="32182.01"/>
    <n v="0"/>
    <n v="0"/>
    <n v="0"/>
    <n v="0"/>
    <n v="0"/>
    <n v="15442.71"/>
    <n v="17178.8"/>
    <n v="20235.7"/>
    <n v="23046.02"/>
    <n v="26510.61"/>
    <n v="27949.43"/>
    <n v="27317.15"/>
    <n v="0"/>
    <n v="0"/>
    <n v="0"/>
    <n v="0"/>
    <n v="0"/>
    <n v="15442.71"/>
    <n v="16962.84"/>
    <n v="20384.95"/>
    <n v="23112.73"/>
    <n v="26489.08"/>
    <n v="27970.959999999999"/>
    <n v="24631.99"/>
    <n v="0"/>
    <n v="0"/>
    <n v="0"/>
    <n v="0"/>
    <n v="0"/>
    <x v="0"/>
    <x v="10"/>
    <x v="10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4. INTERVENCIONES QUIRURGICAS"/>
    <s v="20. SALUD"/>
    <s v="044. SALUD INDIVIDUAL"/>
    <s v="0097. ATENCION MEDICA ESPECIALIZADA"/>
    <s v="00001"/>
    <s v="0000257. ATENCION DE INTERVENCIONES QUIRURGICAS"/>
    <s v="00006 - ATENCION"/>
    <n v="20000"/>
    <n v="10000"/>
    <n v="8000"/>
    <n v="8000"/>
    <x v="3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79534"/>
    <n v="0"/>
    <n v="79534"/>
    <n v="13393.73"/>
    <n v="13393.73"/>
    <n v="2096.91"/>
    <n v="2248.7600000000002"/>
    <n v="1776.05"/>
    <n v="2905.25"/>
    <n v="2117"/>
    <n v="0"/>
    <n v="2249.7600000000002"/>
    <n v="0"/>
    <n v="0"/>
    <n v="0"/>
    <n v="0"/>
    <n v="0"/>
    <n v="2096.91"/>
    <n v="2248.7600000000002"/>
    <n v="1776.05"/>
    <n v="2603"/>
    <n v="2117"/>
    <n v="0"/>
    <n v="2249.7600000000002"/>
    <n v="0"/>
    <n v="0"/>
    <n v="0"/>
    <n v="0"/>
    <n v="0"/>
    <n v="1951.37"/>
    <n v="2220.1"/>
    <n v="1859.98"/>
    <n v="2500.36"/>
    <n v="2130.3000000000002"/>
    <n v="179.61"/>
    <n v="2091.8000000000002"/>
    <n v="0"/>
    <n v="0"/>
    <n v="0"/>
    <n v="0"/>
    <n v="0"/>
    <n v="1951.37"/>
    <n v="2209.52"/>
    <n v="1859.98"/>
    <n v="2510.94"/>
    <n v="2130.3000000000002"/>
    <n v="179.61"/>
    <n v="1575.53"/>
    <n v="0"/>
    <n v="0"/>
    <n v="0"/>
    <n v="0"/>
    <n v="0"/>
    <x v="0"/>
    <x v="10"/>
    <x v="10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6. OTRAS ATENCIONES DE SALUD ESPECIALIZADAS"/>
    <s v="20. SALUD"/>
    <s v="044. SALUD INDIVIDUAL"/>
    <s v="0097. ATENCION MEDICA ESPECIALIZADA"/>
    <s v="00001"/>
    <s v="0023484. ATENCION MEDICA ESPECIALIZADA"/>
    <s v="00006 - ATENCION"/>
    <n v="25000"/>
    <n v="12500"/>
    <n v="11000"/>
    <n v="11000"/>
    <x v="3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52090"/>
    <n v="0"/>
    <n v="52090"/>
    <n v="18428.41"/>
    <n v="18428.41"/>
    <n v="0"/>
    <n v="799.15"/>
    <n v="368.84"/>
    <n v="0"/>
    <n v="368.84"/>
    <n v="16522.740000000002"/>
    <n v="368.84"/>
    <n v="0"/>
    <n v="0"/>
    <n v="0"/>
    <n v="0"/>
    <n v="0"/>
    <n v="0"/>
    <n v="799.15"/>
    <n v="368.84"/>
    <n v="0"/>
    <n v="368.84"/>
    <n v="16522.740000000002"/>
    <n v="368.84"/>
    <n v="0"/>
    <n v="0"/>
    <n v="0"/>
    <n v="0"/>
    <n v="0"/>
    <n v="0"/>
    <n v="779.15"/>
    <n v="368.84"/>
    <n v="20"/>
    <n v="348.84"/>
    <n v="16472.61"/>
    <n v="418.97"/>
    <n v="0"/>
    <n v="0"/>
    <n v="0"/>
    <n v="0"/>
    <n v="0"/>
    <n v="0"/>
    <n v="779.15"/>
    <n v="368.84"/>
    <n v="20"/>
    <n v="348.84"/>
    <n v="14712.78"/>
    <n v="418.23"/>
    <n v="0"/>
    <n v="0"/>
    <n v="0"/>
    <n v="0"/>
    <n v="0"/>
    <x v="0"/>
    <x v="10"/>
    <x v="10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8. ATENCION DE CUIDADOS INTENSIVOS"/>
    <s v="20. SALUD"/>
    <s v="044. SALUD INDIVIDUAL"/>
    <s v="0097. ATENCION MEDICA ESPECIALIZADA"/>
    <s v="00001"/>
    <s v="0000268. ATENCION EN CUIDADOS INTENSIVOS"/>
    <s v="00006 - ATENCION"/>
    <n v="20000"/>
    <n v="10000"/>
    <n v="9800"/>
    <n v="9800"/>
    <x v="5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2738"/>
    <n v="0"/>
    <n v="27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0"/>
    <x v="10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9. COMERCIALIZACION DE MEDICAMENTOS E INSUMOS"/>
    <s v="20. SALUD"/>
    <s v="044. SALUD INDIVIDUAL"/>
    <s v="0098. SERVICIOS DE DIAGNOSTICO Y TRATAMIENTO"/>
    <s v="00001"/>
    <s v="0001468. VENTA DE MEDICINAS"/>
    <s v="00006 - ATENCION"/>
    <n v="500000"/>
    <n v="250000"/>
    <n v="225000"/>
    <n v="225000"/>
    <x v="3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139767"/>
    <n v="-6344"/>
    <n v="133423"/>
    <n v="70536.539999999994"/>
    <n v="70536.539999999994"/>
    <n v="10087.57"/>
    <n v="7972.07"/>
    <n v="10336.02"/>
    <n v="8627.58"/>
    <n v="11900.66"/>
    <n v="9892.27"/>
    <n v="11720.37"/>
    <n v="0"/>
    <n v="0"/>
    <n v="0"/>
    <n v="0"/>
    <n v="0"/>
    <n v="10087.57"/>
    <n v="7972.07"/>
    <n v="10336.02"/>
    <n v="8627.58"/>
    <n v="11900.66"/>
    <n v="9892.27"/>
    <n v="11720.37"/>
    <n v="0"/>
    <n v="0"/>
    <n v="0"/>
    <n v="0"/>
    <n v="0"/>
    <n v="7506.84"/>
    <n v="9052.51"/>
    <n v="9816.73"/>
    <n v="8762.9500000000007"/>
    <n v="11620.86"/>
    <n v="12056.28"/>
    <n v="10301.19"/>
    <n v="0"/>
    <n v="0"/>
    <n v="0"/>
    <n v="0"/>
    <n v="0"/>
    <n v="7506.84"/>
    <n v="9032.34"/>
    <n v="9816.73"/>
    <n v="8783.1200000000008"/>
    <n v="11620.86"/>
    <n v="12056.28"/>
    <n v="9911.7099999999991"/>
    <n v="0"/>
    <n v="0"/>
    <n v="0"/>
    <n v="0"/>
    <n v="0"/>
    <x v="0"/>
    <x v="10"/>
    <x v="10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2197. PRESTACIONES ADMINISTRATIVAS SUBSIDIADAS/NO TARIFADO"/>
    <s v="20. SALUD"/>
    <s v="044. SALUD INDIVIDUAL"/>
    <s v="0097. ATENCION MEDICA ESPECIALIZADA"/>
    <s v="00001"/>
    <s v="0002088. SEGURO INTEGRAL DE SALUD"/>
    <s v="00006 - ATENCION"/>
    <n v="50000"/>
    <n v="25000"/>
    <n v="26500"/>
    <n v="26500"/>
    <x v="4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101742"/>
    <n v="53041"/>
    <n v="154783"/>
    <n v="111900.87"/>
    <n v="111900.87"/>
    <n v="16467.11"/>
    <n v="14573.85"/>
    <n v="6892.28"/>
    <n v="35097.339999999997"/>
    <n v="15873.32"/>
    <n v="8703.26"/>
    <n v="14293.71"/>
    <n v="0"/>
    <n v="0"/>
    <n v="0"/>
    <n v="0"/>
    <n v="0"/>
    <n v="16467.11"/>
    <n v="14573.85"/>
    <n v="6892.28"/>
    <n v="24904.38"/>
    <n v="15873.32"/>
    <n v="8703.26"/>
    <n v="14293.71"/>
    <n v="0"/>
    <n v="0"/>
    <n v="0"/>
    <n v="0"/>
    <n v="0"/>
    <n v="13781.99"/>
    <n v="14414.75"/>
    <n v="8688.08"/>
    <n v="23637.43"/>
    <n v="15225.01"/>
    <n v="11666.94"/>
    <n v="13513.5"/>
    <n v="0"/>
    <n v="0"/>
    <n v="0"/>
    <n v="0"/>
    <n v="0"/>
    <n v="13781.99"/>
    <n v="14411.87"/>
    <n v="8690.9599999999991"/>
    <n v="23637.43"/>
    <n v="15225.01"/>
    <n v="11666.94"/>
    <n v="12198.71"/>
    <n v="0"/>
    <n v="0"/>
    <n v="0"/>
    <n v="0"/>
    <n v="0"/>
    <x v="0"/>
    <x v="10"/>
    <x v="10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1. GUARDIAS HOSPITALARIAS"/>
    <s v="0 . RECURSOS ORDINARIOS"/>
    <n v="322708"/>
    <n v="0"/>
    <n v="322708"/>
    <n v="184671.23"/>
    <n v="184671.23"/>
    <n v="27212.95"/>
    <n v="24281.86"/>
    <n v="14593.77"/>
    <n v="49760.61"/>
    <n v="35103.75"/>
    <n v="0"/>
    <n v="33718.29"/>
    <n v="0"/>
    <n v="0"/>
    <n v="0"/>
    <n v="0"/>
    <n v="0"/>
    <n v="27212.95"/>
    <n v="24281.86"/>
    <n v="14593.77"/>
    <n v="37717.550000000003"/>
    <n v="35103.75"/>
    <n v="0"/>
    <n v="33718.29"/>
    <n v="0"/>
    <n v="0"/>
    <n v="0"/>
    <n v="0"/>
    <n v="0"/>
    <n v="23027.01"/>
    <n v="22106.93"/>
    <n v="19054.86"/>
    <n v="33922.120000000003"/>
    <n v="35301.21"/>
    <n v="5497.75"/>
    <n v="29280.39"/>
    <n v="0"/>
    <n v="0"/>
    <n v="0"/>
    <n v="0"/>
    <n v="0"/>
    <n v="23027.01"/>
    <n v="22106.93"/>
    <n v="19054.86"/>
    <n v="33921.379999999997"/>
    <n v="35301.21"/>
    <n v="5497.75"/>
    <n v="27906.27"/>
    <n v="0"/>
    <n v="0"/>
    <n v="0"/>
    <n v="0"/>
    <n v="0"/>
    <x v="0"/>
    <x v="10"/>
    <x v="10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001."/>
    <s v="5.ACTIVIDAD"/>
    <s v="5004426. MONITOREO, SUPERVISION, EVALUACION Y CONTROL DEL PROGRAMA ARTICULADO NUTRICIONAL"/>
    <s v="20. SALUD"/>
    <s v="004. PLANEAMIENTO GUBERNAMENTAL"/>
    <s v="0005. PLANEAMIENTO INSTITUCIONAL"/>
    <s v="00001"/>
    <s v="0044276. MONITOREO, SUPERVISION, EVALUACION Y CONTROL DEL PROGRAMA ARTICULADO NUTRICIONAL"/>
    <s v="00060 - INFORME"/>
    <n v="4"/>
    <n v="2"/>
    <n v="2"/>
    <n v="2"/>
    <x v="51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1"/>
    <x v="11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877."/>
    <s v="5.ACTIVIDAD"/>
    <s v="5000029. ATENDER A NIÑOS CON DIAGNOSTICO DE INFECCIONES RESPIRATORIAS AGUDAS CON COMPLICACIONES"/>
    <s v="20. SALUD"/>
    <s v="044. SALUD INDIVIDUAL"/>
    <s v="0097. ATENCION MEDICA ESPECIALIZADA"/>
    <s v="00001"/>
    <s v="0033313. ATENCION IRA CON COMPLICACIONES"/>
    <s v="00016 - CASO TRATADO"/>
    <n v="221"/>
    <n v="110"/>
    <n v="108"/>
    <n v="108"/>
    <x v="4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0"/>
    <n v="31361"/>
    <n v="313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1"/>
    <x v="11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315."/>
    <s v="5.ACTIVIDAD"/>
    <s v="5000031. BRINDAR ATENCION A OTRAS ENFERMEDADES PREVALENTES"/>
    <s v="20. SALUD"/>
    <s v="044. SALUD INDIVIDUAL"/>
    <s v="0096. ATENCION MEDICA BASICA"/>
    <s v="00001"/>
    <s v="0033315. ATENCION DE OTRAS ENFERMEDADES PREVALENTES"/>
    <s v="00016 - CASO TRATADO"/>
    <n v="440"/>
    <n v="220"/>
    <n v="198"/>
    <n v="198"/>
    <x v="6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14850"/>
    <n v="3150"/>
    <n v="18000"/>
    <n v="12600"/>
    <n v="12600"/>
    <n v="1800"/>
    <n v="1800"/>
    <n v="1800"/>
    <n v="1800"/>
    <n v="1800"/>
    <n v="1800"/>
    <n v="1800"/>
    <n v="0"/>
    <n v="0"/>
    <n v="0"/>
    <n v="0"/>
    <n v="0"/>
    <n v="1800"/>
    <n v="1800"/>
    <n v="1800"/>
    <n v="1800"/>
    <n v="1800"/>
    <n v="1800"/>
    <n v="1800"/>
    <n v="0"/>
    <n v="0"/>
    <n v="0"/>
    <n v="0"/>
    <n v="0"/>
    <n v="1435.42"/>
    <n v="1478.01"/>
    <n v="2118.41"/>
    <n v="1383.41"/>
    <n v="1981.61"/>
    <n v="2206.81"/>
    <n v="1320.85"/>
    <n v="0"/>
    <n v="0"/>
    <n v="0"/>
    <n v="0"/>
    <n v="0"/>
    <n v="1435.42"/>
    <n v="1469.55"/>
    <n v="2118.41"/>
    <n v="1391.87"/>
    <n v="1981.61"/>
    <n v="2206.81"/>
    <n v="1320.85"/>
    <n v="0"/>
    <n v="0"/>
    <n v="0"/>
    <n v="0"/>
    <n v="0"/>
    <x v="0"/>
    <x v="11"/>
    <x v="11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00005."/>
    <s v="5.ACTIVIDAD"/>
    <s v="5000058. BRINDAR SERVICIOS DE SALUD PARA PREVENCION DEL EMBARAZO A ADOLESCENTES"/>
    <s v="20. SALUD"/>
    <s v="044. SALUD INDIVIDUAL"/>
    <s v="0096. ATENCION MEDICA BASICA"/>
    <s v="00001"/>
    <s v="0053220. ADOLESCENTES ACCEDEN A SERVICIOS DE SALUD PARA PREVENCION DEL EMBARAZO"/>
    <s v="00150 - ADOLESCENTE"/>
    <n v="200"/>
    <n v="100"/>
    <n v="0"/>
    <n v="0"/>
    <x v="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4950"/>
    <n v="0"/>
    <n v="4950"/>
    <n v="3150"/>
    <n v="3150"/>
    <n v="450"/>
    <n v="450"/>
    <n v="450"/>
    <n v="450"/>
    <n v="450"/>
    <n v="450"/>
    <n v="450"/>
    <n v="0"/>
    <n v="0"/>
    <n v="0"/>
    <n v="0"/>
    <n v="0"/>
    <n v="450"/>
    <n v="450"/>
    <n v="450"/>
    <n v="450"/>
    <n v="450"/>
    <n v="450"/>
    <n v="450"/>
    <n v="0"/>
    <n v="0"/>
    <n v="0"/>
    <n v="0"/>
    <n v="0"/>
    <n v="394.97"/>
    <n v="448.68"/>
    <n v="449.88"/>
    <n v="450.12"/>
    <n v="449.88"/>
    <n v="466.06"/>
    <n v="430.7"/>
    <n v="0"/>
    <n v="0"/>
    <n v="0"/>
    <n v="0"/>
    <n v="0"/>
    <n v="394.97"/>
    <n v="448.68"/>
    <n v="449.88"/>
    <n v="450.12"/>
    <n v="449.88"/>
    <n v="466.06"/>
    <n v="430.7"/>
    <n v="0"/>
    <n v="0"/>
    <n v="0"/>
    <n v="0"/>
    <n v="0"/>
    <x v="0"/>
    <x v="11"/>
    <x v="11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172."/>
    <s v="5.ACTIVIDAD"/>
    <s v="5000037. BRINDAR ATENCION PRENATAL REENFOCADA"/>
    <s v="20. SALUD"/>
    <s v="044. SALUD INDIVIDUAL"/>
    <s v="0096. ATENCION MEDICA BASICA"/>
    <s v="00001"/>
    <s v="0033172. ATENCION PRENATAL REENFOCADA"/>
    <s v="00058 - GESTANTE CONTROLADA"/>
    <n v="3140"/>
    <n v="1570"/>
    <n v="1605"/>
    <n v="1605"/>
    <x v="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28350"/>
    <n v="3150"/>
    <n v="31500"/>
    <n v="17250"/>
    <n v="17250"/>
    <n v="2400"/>
    <n v="2400"/>
    <n v="2400"/>
    <n v="2400"/>
    <n v="2400"/>
    <n v="2400"/>
    <n v="2850"/>
    <n v="0"/>
    <n v="0"/>
    <n v="0"/>
    <n v="0"/>
    <n v="0"/>
    <n v="2400"/>
    <n v="2400"/>
    <n v="2400"/>
    <n v="2400"/>
    <n v="2400"/>
    <n v="2400"/>
    <n v="2850"/>
    <n v="0"/>
    <n v="0"/>
    <n v="0"/>
    <n v="0"/>
    <n v="0"/>
    <n v="1666.49"/>
    <n v="2163.88"/>
    <n v="2485.48"/>
    <n v="2311.65"/>
    <n v="2434.25"/>
    <n v="2769.95"/>
    <n v="2425.29"/>
    <n v="0"/>
    <n v="0"/>
    <n v="0"/>
    <n v="0"/>
    <n v="0"/>
    <n v="1666.49"/>
    <n v="2097.12"/>
    <n v="2485.48"/>
    <n v="2378.41"/>
    <n v="2434.25"/>
    <n v="2769.95"/>
    <n v="2425.29"/>
    <n v="0"/>
    <n v="0"/>
    <n v="0"/>
    <n v="0"/>
    <n v="0"/>
    <x v="0"/>
    <x v="11"/>
    <x v="11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1."/>
    <s v="5.ACTIVIDAD"/>
    <s v="5000042. MEJORAMIENTO DEL ACCESO DE LA POBLACION A METODOS DE PLANIFICACION FAMILIAR"/>
    <s v="20. SALUD"/>
    <s v="044. SALUD INDIVIDUAL"/>
    <s v="0096. ATENCION MEDICA BASICA"/>
    <s v="00001"/>
    <s v="0033291. POBLACION ACCEDE A METODOS DE PLANIFICACION FAMILIAR"/>
    <s v="00206 - PAREJA PROTEGIDA"/>
    <n v="2838"/>
    <n v="1419"/>
    <n v="909"/>
    <n v="909"/>
    <x v="44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1"/>
    <x v="11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4."/>
    <s v="5.ACTIVIDAD"/>
    <s v="5000044. BRINDAR ATENCION A LA GESTANTE CON COMPLICACIONES"/>
    <s v="20. SALUD"/>
    <s v="044. SALUD INDIVIDUAL"/>
    <s v="0097. ATENCION MEDICA ESPECIALIZADA"/>
    <s v="00001"/>
    <s v="0033294. ATENCION DE LA GESTANTE CON COMPLICACIONES"/>
    <s v="00016 - CASO TRATADO"/>
    <n v="4100"/>
    <n v="2050"/>
    <n v="1830"/>
    <n v="1830"/>
    <x v="1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115700"/>
    <n v="0"/>
    <n v="115700"/>
    <n v="36300"/>
    <n v="36300"/>
    <n v="5100"/>
    <n v="5100"/>
    <n v="5100"/>
    <n v="5100"/>
    <n v="5100"/>
    <n v="5100"/>
    <n v="5700"/>
    <n v="0"/>
    <n v="0"/>
    <n v="0"/>
    <n v="0"/>
    <n v="0"/>
    <n v="5100"/>
    <n v="5100"/>
    <n v="5100"/>
    <n v="5100"/>
    <n v="5100"/>
    <n v="5100"/>
    <n v="5700"/>
    <n v="0"/>
    <n v="0"/>
    <n v="0"/>
    <n v="0"/>
    <n v="0"/>
    <n v="3586.88"/>
    <n v="4994.0200000000004"/>
    <n v="5242.8100000000004"/>
    <n v="4949.34"/>
    <n v="5026.5200000000004"/>
    <n v="5699.25"/>
    <n v="4807.5600000000004"/>
    <n v="0"/>
    <n v="0"/>
    <n v="0"/>
    <n v="0"/>
    <n v="0"/>
    <n v="3586.88"/>
    <n v="4988.8599999999997"/>
    <n v="5247.97"/>
    <n v="4942.96"/>
    <n v="5009.45"/>
    <n v="5671.02"/>
    <n v="4800.74"/>
    <n v="0"/>
    <n v="0"/>
    <n v="0"/>
    <n v="0"/>
    <n v="0"/>
    <x v="0"/>
    <x v="11"/>
    <x v="11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5."/>
    <s v="5.ACTIVIDAD"/>
    <s v="5000045. BRINDAR ATENCION DE PARTO NORMAL"/>
    <s v="20. SALUD"/>
    <s v="044. SALUD INDIVIDUAL"/>
    <s v="0096. ATENCION MEDICA BASICA"/>
    <s v="00001"/>
    <s v="0033295. ATENCION DEL PARTO NORMAL"/>
    <s v="00208 - PARTO NORMAL"/>
    <n v="1400"/>
    <n v="700"/>
    <n v="447"/>
    <n v="447"/>
    <x v="11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14850"/>
    <n v="6150"/>
    <n v="21000"/>
    <n v="12250"/>
    <n v="12250"/>
    <n v="1750"/>
    <n v="1750"/>
    <n v="1750"/>
    <n v="1750"/>
    <n v="1750"/>
    <n v="1750"/>
    <n v="1750"/>
    <n v="0"/>
    <n v="0"/>
    <n v="0"/>
    <n v="0"/>
    <n v="0"/>
    <n v="1750"/>
    <n v="1750"/>
    <n v="1750"/>
    <n v="1750"/>
    <n v="1750"/>
    <n v="1750"/>
    <n v="1750"/>
    <n v="0"/>
    <n v="0"/>
    <n v="0"/>
    <n v="0"/>
    <n v="0"/>
    <n v="1298.71"/>
    <n v="1700.47"/>
    <n v="1770.32"/>
    <n v="1680.01"/>
    <n v="1790.03"/>
    <n v="2114.04"/>
    <n v="1596.44"/>
    <n v="0"/>
    <n v="0"/>
    <n v="0"/>
    <n v="0"/>
    <n v="0"/>
    <n v="1298.71"/>
    <n v="1670.62"/>
    <n v="1770.32"/>
    <n v="1709.86"/>
    <n v="1790.03"/>
    <n v="2092.54"/>
    <n v="1596.44"/>
    <n v="0"/>
    <n v="0"/>
    <n v="0"/>
    <n v="0"/>
    <n v="0"/>
    <x v="0"/>
    <x v="11"/>
    <x v="11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7."/>
    <s v="5.ACTIVIDAD"/>
    <s v="5000047. BRINDAR ATENCION DEL PARTO COMPLICADO QUIRURGICO"/>
    <s v="20. SALUD"/>
    <s v="044. SALUD INDIVIDUAL"/>
    <s v="0097. ATENCION MEDICA ESPECIALIZADA"/>
    <s v="00001"/>
    <s v="0033297. ATENCION DEL PARTO COMPLICADO QUIRURGICO"/>
    <s v="00210 - CESAREA"/>
    <n v="1550"/>
    <n v="775"/>
    <n v="747"/>
    <n v="747"/>
    <x v="1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195450"/>
    <n v="-7650"/>
    <n v="187800"/>
    <n v="145300"/>
    <n v="145300"/>
    <n v="18050"/>
    <n v="23000"/>
    <n v="20750"/>
    <n v="20750"/>
    <n v="20750"/>
    <n v="20750"/>
    <n v="21250"/>
    <n v="0"/>
    <n v="0"/>
    <n v="0"/>
    <n v="0"/>
    <n v="0"/>
    <n v="18050"/>
    <n v="23000"/>
    <n v="20750"/>
    <n v="20750"/>
    <n v="20750"/>
    <n v="20750"/>
    <n v="21250"/>
    <n v="0"/>
    <n v="0"/>
    <n v="0"/>
    <n v="0"/>
    <n v="0"/>
    <n v="14861.89"/>
    <n v="22608.66"/>
    <n v="21286.29"/>
    <n v="20173.88"/>
    <n v="20761.849999999999"/>
    <n v="22966.34"/>
    <n v="18800.45"/>
    <n v="0"/>
    <n v="0"/>
    <n v="0"/>
    <n v="0"/>
    <n v="0"/>
    <n v="14861.89"/>
    <n v="22532.41"/>
    <n v="21299.89"/>
    <n v="20213.810000000001"/>
    <n v="20739.38"/>
    <n v="22966.34"/>
    <n v="18778.37"/>
    <n v="0"/>
    <n v="0"/>
    <n v="0"/>
    <n v="0"/>
    <n v="0"/>
    <x v="0"/>
    <x v="11"/>
    <x v="11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9."/>
    <s v="5.ACTIVIDAD"/>
    <s v="5000049. ATENDER EL PUERPERIO CON COMPLICACIONES"/>
    <s v="20. SALUD"/>
    <s v="044. SALUD INDIVIDUAL"/>
    <s v="0097. ATENCION MEDICA ESPECIALIZADA"/>
    <s v="00001"/>
    <s v="0033299. ATENCION DEL PUERPERIO CON COMPLICACIONES"/>
    <s v="00016 - CASO TRATADO"/>
    <n v="240"/>
    <n v="120"/>
    <n v="94"/>
    <n v="94"/>
    <x v="15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9900"/>
    <n v="0"/>
    <n v="9900"/>
    <n v="6300"/>
    <n v="6300"/>
    <n v="900"/>
    <n v="900"/>
    <n v="900"/>
    <n v="900"/>
    <n v="900"/>
    <n v="900"/>
    <n v="900"/>
    <n v="0"/>
    <n v="0"/>
    <n v="0"/>
    <n v="0"/>
    <n v="0"/>
    <n v="900"/>
    <n v="900"/>
    <n v="900"/>
    <n v="900"/>
    <n v="900"/>
    <n v="900"/>
    <n v="900"/>
    <n v="0"/>
    <n v="0"/>
    <n v="0"/>
    <n v="0"/>
    <n v="0"/>
    <n v="784"/>
    <n v="887.36"/>
    <n v="903.26"/>
    <n v="892.46"/>
    <n v="899.16"/>
    <n v="955.68"/>
    <n v="850.4"/>
    <n v="0"/>
    <n v="0"/>
    <n v="0"/>
    <n v="0"/>
    <n v="0"/>
    <n v="784"/>
    <n v="883.31"/>
    <n v="903.26"/>
    <n v="896.51"/>
    <n v="899.16"/>
    <n v="955.68"/>
    <n v="850.4"/>
    <n v="0"/>
    <n v="0"/>
    <n v="0"/>
    <n v="0"/>
    <n v="0"/>
    <x v="0"/>
    <x v="11"/>
    <x v="11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0."/>
    <s v="5.ACTIVIDAD"/>
    <s v="5000050. ATENDER COMPLICACIONES OBSTETRICAS EN UNIDAD DE CUIDADOS INTENSIVOS"/>
    <s v="20. SALUD"/>
    <s v="044. SALUD INDIVIDUAL"/>
    <s v="0097. ATENCION MEDICA ESPECIALIZADA"/>
    <s v="00001"/>
    <s v="0033300. ATENCION OBSTETRICA EN UNIDAD DE CUIDADOS INTENSIVOS"/>
    <s v="00016 - CASO TRATADO"/>
    <n v="68"/>
    <n v="34"/>
    <n v="16"/>
    <n v="16"/>
    <x v="16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54700"/>
    <n v="-11700"/>
    <n v="43000"/>
    <n v="30100"/>
    <n v="30100"/>
    <n v="4300"/>
    <n v="4300"/>
    <n v="4300"/>
    <n v="4300"/>
    <n v="4300"/>
    <n v="4300"/>
    <n v="4300"/>
    <n v="0"/>
    <n v="0"/>
    <n v="0"/>
    <n v="0"/>
    <n v="0"/>
    <n v="4300"/>
    <n v="4300"/>
    <n v="4300"/>
    <n v="4300"/>
    <n v="4300"/>
    <n v="4300"/>
    <n v="4300"/>
    <n v="0"/>
    <n v="0"/>
    <n v="0"/>
    <n v="0"/>
    <n v="0"/>
    <n v="2854.04"/>
    <n v="4313.22"/>
    <n v="4376.46"/>
    <n v="4628.32"/>
    <n v="3916.18"/>
    <n v="4687.4799999999996"/>
    <n v="3959.73"/>
    <n v="0"/>
    <n v="0"/>
    <n v="0"/>
    <n v="0"/>
    <n v="0"/>
    <n v="2854.04"/>
    <n v="4223.26"/>
    <n v="4376.46"/>
    <n v="4718.28"/>
    <n v="3916.18"/>
    <n v="4687.4799999999996"/>
    <n v="3959.73"/>
    <n v="0"/>
    <n v="0"/>
    <n v="0"/>
    <n v="0"/>
    <n v="0"/>
    <x v="0"/>
    <x v="11"/>
    <x v="11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5."/>
    <s v="5.ACTIVIDAD"/>
    <s v="5000053. ATENDER AL RECIEN NACIDO NORMAL"/>
    <s v="20. SALUD"/>
    <s v="044. SALUD INDIVIDUAL"/>
    <s v="0096. ATENCION MEDICA BASICA"/>
    <s v="00001"/>
    <s v="0033305. ATENCION DEL RECIEN NACIDO NORMAL"/>
    <s v="00239 - RECIEN NACIDO ATENDIDO"/>
    <n v="7546"/>
    <n v="3773"/>
    <n v="2820"/>
    <n v="2820"/>
    <x v="1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57150"/>
    <n v="1750"/>
    <n v="58900"/>
    <n v="38800"/>
    <n v="38800"/>
    <n v="5350"/>
    <n v="5350"/>
    <n v="5350"/>
    <n v="5350"/>
    <n v="5350"/>
    <n v="5350"/>
    <n v="6700"/>
    <n v="0"/>
    <n v="0"/>
    <n v="0"/>
    <n v="0"/>
    <n v="0"/>
    <n v="5350"/>
    <n v="5350"/>
    <n v="5350"/>
    <n v="5350"/>
    <n v="5350"/>
    <n v="5350"/>
    <n v="6700"/>
    <n v="0"/>
    <n v="0"/>
    <n v="0"/>
    <n v="0"/>
    <n v="0"/>
    <n v="4113.91"/>
    <n v="5232.4399999999996"/>
    <n v="5607.34"/>
    <n v="5302.3"/>
    <n v="5176.1499999999996"/>
    <n v="6360.15"/>
    <n v="5357.12"/>
    <n v="0"/>
    <n v="0"/>
    <n v="0"/>
    <n v="0"/>
    <n v="0"/>
    <n v="4113.91"/>
    <n v="5196.7"/>
    <n v="5613.62"/>
    <n v="5331.76"/>
    <n v="5176.1499999999996"/>
    <n v="6360.15"/>
    <n v="5357.12"/>
    <n v="0"/>
    <n v="0"/>
    <n v="0"/>
    <n v="0"/>
    <n v="0"/>
    <x v="0"/>
    <x v="11"/>
    <x v="11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6."/>
    <s v="5.ACTIVIDAD"/>
    <s v="5000054. ATENDER AL RECIEN NACIDO CON COMPLICACIONES"/>
    <s v="20. SALUD"/>
    <s v="044. SALUD INDIVIDUAL"/>
    <s v="0097. ATENCION MEDICA ESPECIALIZADA"/>
    <s v="00001"/>
    <s v="0033306. ATENCION DEL RECIEN NACIDO CON COMPLICACIONES"/>
    <s v="00016 - CASO TRATADO"/>
    <n v="2469"/>
    <n v="1234"/>
    <n v="728"/>
    <n v="728"/>
    <x v="1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85500"/>
    <n v="0"/>
    <n v="85500"/>
    <n v="47650"/>
    <n v="47650"/>
    <n v="6250"/>
    <n v="7150"/>
    <n v="6700"/>
    <n v="6700"/>
    <n v="6700"/>
    <n v="6700"/>
    <n v="7450"/>
    <n v="0"/>
    <n v="0"/>
    <n v="0"/>
    <n v="0"/>
    <n v="0"/>
    <n v="6250"/>
    <n v="7150"/>
    <n v="6700"/>
    <n v="6700"/>
    <n v="6700"/>
    <n v="6700"/>
    <n v="7450"/>
    <n v="0"/>
    <n v="0"/>
    <n v="0"/>
    <n v="0"/>
    <n v="0"/>
    <n v="4667.46"/>
    <n v="6854.68"/>
    <n v="6893.8"/>
    <n v="6523.33"/>
    <n v="7041.5"/>
    <n v="7306.01"/>
    <n v="6472.78"/>
    <n v="0"/>
    <n v="0"/>
    <n v="0"/>
    <n v="0"/>
    <n v="0"/>
    <n v="4667.46"/>
    <n v="6832.34"/>
    <n v="6893.8"/>
    <n v="6545.67"/>
    <n v="7041.5"/>
    <n v="7306.01"/>
    <n v="6472.78"/>
    <n v="0"/>
    <n v="0"/>
    <n v="0"/>
    <n v="0"/>
    <n v="0"/>
    <x v="0"/>
    <x v="11"/>
    <x v="11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7."/>
    <s v="5.ACTIVIDAD"/>
    <s v="5000055. ATENDER AL RECIEN NACIDO CON COMPLICACIONES QUE REQUIERE UNIDAD DE CUIDADOS INTENSIVOS NEONATALES - UCIN"/>
    <s v="20. SALUD"/>
    <s v="044. SALUD INDIVIDUAL"/>
    <s v="0097. ATENCION MEDICA ESPECIALIZADA"/>
    <s v="00001"/>
    <s v="0033307. ATENCION DEL RECIEN NACIDO CON COMPLICACIONES QUE REQUIERE UNIDAD DE CUIDADOS INTENSIVOS NEONATALES - UCIN"/>
    <s v="00016 - CASO TRATADO"/>
    <n v="1148"/>
    <n v="574"/>
    <n v="436"/>
    <n v="436"/>
    <x v="1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69300"/>
    <n v="0"/>
    <n v="69300"/>
    <n v="61958.29"/>
    <n v="61958.29"/>
    <n v="8900"/>
    <n v="8900"/>
    <n v="8900"/>
    <n v="8900"/>
    <n v="9308.2900000000009"/>
    <n v="8900"/>
    <n v="8150"/>
    <n v="0"/>
    <n v="0"/>
    <n v="0"/>
    <n v="0"/>
    <n v="0"/>
    <n v="8900"/>
    <n v="8900"/>
    <n v="8900"/>
    <n v="8900"/>
    <n v="9308.2900000000009"/>
    <n v="8900"/>
    <n v="8150"/>
    <n v="0"/>
    <n v="0"/>
    <n v="0"/>
    <n v="0"/>
    <n v="0"/>
    <n v="6128.49"/>
    <n v="8955.84"/>
    <n v="9569.9500000000007"/>
    <n v="8413.18"/>
    <n v="9435.77"/>
    <n v="11230.43"/>
    <n v="6185.41"/>
    <n v="0"/>
    <n v="0"/>
    <n v="0"/>
    <n v="0"/>
    <n v="0"/>
    <n v="6128.49"/>
    <n v="8912.83"/>
    <n v="9574.2800000000007"/>
    <n v="8451.86"/>
    <n v="9435.77"/>
    <n v="9960.4599999999991"/>
    <n v="6185.41"/>
    <n v="0"/>
    <n v="0"/>
    <n v="0"/>
    <n v="0"/>
    <n v="0"/>
    <x v="0"/>
    <x v="11"/>
    <x v="11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12."/>
    <s v="5.ACTIVIDAD"/>
    <s v="5004436. DESPISTAJE DE TUBERCULOSIS EN SINTOMATICOS RESPIRATORIOS"/>
    <s v="20. SALUD"/>
    <s v="044. SALUD INDIVIDUAL"/>
    <s v="0096. ATENCION MEDICA BASICA"/>
    <s v="00001"/>
    <s v="0043962. DESPISTAJE DE TUBERCULOSIS EN SINTOMATICOS RESPIRATORIOS"/>
    <s v="00087 - PERSONA ATENDIDA"/>
    <n v="3212"/>
    <n v="1606"/>
    <n v="647.70000000000005"/>
    <n v="647.70000000000005"/>
    <x v="4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1"/>
    <x v="11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14."/>
    <s v="5.ACTIVIDAD"/>
    <s v="5004438. DIAGNOSTICO DE CASOS DE TUBERCULOSIS"/>
    <s v="20. SALUD"/>
    <s v="044. SALUD INDIVIDUAL"/>
    <s v="0096. ATENCION MEDICA BASICA"/>
    <s v="00001"/>
    <s v="0043964. DIAGNOSTICO DE CASOS DE TUBERCULOSIS"/>
    <s v="00393 - TASA"/>
    <n v="140"/>
    <n v="70"/>
    <n v="48"/>
    <n v="48"/>
    <x v="2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1"/>
    <x v="11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1"/>
    <s v=" ."/>
    <s v="3043983."/>
    <s v="5.ACTIVIDAD"/>
    <s v="5000093. EVALUACION, DIAGNOSTICO Y TRATAMIENTO DE ENFERMEDADES METAXENICAS"/>
    <s v="20. SALUD"/>
    <s v="044. SALUD INDIVIDUAL"/>
    <s v="0096. ATENCION MEDICA BASICA"/>
    <s v="00001"/>
    <s v="0043983. DIAGNOSTICO Y TRATAMIENTO DE ENFERMEDADES METAXENICAS"/>
    <s v="00394 - TECNICO"/>
    <n v="1379"/>
    <n v="689"/>
    <n v="198"/>
    <n v="198"/>
    <x v="46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1"/>
    <x v="11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2."/>
    <s v="5.ACTIVIDAD"/>
    <s v="5000110. BRINDAR TRATAMIENTO A PACIENTES CON DIAGNOSTICO DE CATARATAS"/>
    <s v="20. SALUD"/>
    <s v="044. SALUD INDIVIDUAL"/>
    <s v="0097. ATENCION MEDICA ESPECIALIZADA"/>
    <s v="00001"/>
    <s v="0135994. BRINDAR TRATAMIENTO A PACIENTES CON DIAGNOSTICO DE CATARATAS"/>
    <s v="00394 - TECNICO"/>
    <n v="648"/>
    <n v="324"/>
    <n v="141"/>
    <n v="141"/>
    <x v="2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4050"/>
    <n v="1350"/>
    <n v="5400"/>
    <n v="3150"/>
    <n v="3150"/>
    <n v="450"/>
    <n v="450"/>
    <n v="450"/>
    <n v="450"/>
    <n v="450"/>
    <n v="450"/>
    <n v="450"/>
    <n v="0"/>
    <n v="0"/>
    <n v="0"/>
    <n v="0"/>
    <n v="0"/>
    <n v="450"/>
    <n v="450"/>
    <n v="450"/>
    <n v="450"/>
    <n v="450"/>
    <n v="450"/>
    <n v="450"/>
    <n v="0"/>
    <n v="0"/>
    <n v="0"/>
    <n v="0"/>
    <n v="0"/>
    <n v="242.19"/>
    <n v="446.37"/>
    <n v="480.47"/>
    <n v="397.06"/>
    <n v="476.47"/>
    <n v="514.02"/>
    <n v="390.7"/>
    <n v="0"/>
    <n v="0"/>
    <n v="0"/>
    <n v="0"/>
    <n v="0"/>
    <n v="242.19"/>
    <n v="423.1"/>
    <n v="480.47"/>
    <n v="420.33"/>
    <n v="476.47"/>
    <n v="514.02"/>
    <n v="390.7"/>
    <n v="0"/>
    <n v="0"/>
    <n v="0"/>
    <n v="0"/>
    <n v="0"/>
    <x v="0"/>
    <x v="11"/>
    <x v="11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6."/>
    <s v="5.ACTIVIDAD"/>
    <s v="5000114. BRINDAR TRATAMIENTO A PERSONAS CON DIAGNOSTICO DE HIPERTENSION ARTERIAL"/>
    <s v="20. SALUD"/>
    <s v="044. SALUD INDIVIDUAL"/>
    <s v="0097. ATENCION MEDICA ESPECIALIZADA"/>
    <s v="00001"/>
    <s v="0135998. BRINDAR TRATAMIENTO A PERSONAS CON DIAGNOSTICO DE HIPERTENSION ARTERIAL"/>
    <s v="00394 - TECNICO"/>
    <n v="771"/>
    <n v="385"/>
    <n v="382"/>
    <n v="382"/>
    <x v="2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4400"/>
    <n v="0"/>
    <n v="4400"/>
    <n v="750"/>
    <n v="750"/>
    <n v="750"/>
    <n v="0"/>
    <n v="0"/>
    <n v="0"/>
    <n v="0"/>
    <n v="0"/>
    <n v="0"/>
    <n v="0"/>
    <n v="0"/>
    <n v="0"/>
    <n v="0"/>
    <n v="0"/>
    <n v="750"/>
    <n v="0"/>
    <n v="0"/>
    <n v="0"/>
    <n v="0"/>
    <n v="0"/>
    <n v="0"/>
    <n v="0"/>
    <n v="0"/>
    <n v="0"/>
    <n v="0"/>
    <n v="0"/>
    <n v="552.70000000000005"/>
    <n v="197.3"/>
    <n v="0"/>
    <n v="0"/>
    <n v="0"/>
    <n v="0"/>
    <n v="0"/>
    <n v="0"/>
    <n v="0"/>
    <n v="0"/>
    <n v="0"/>
    <n v="0"/>
    <n v="552.70000000000005"/>
    <n v="197.3"/>
    <n v="0"/>
    <n v="0"/>
    <n v="0"/>
    <n v="0"/>
    <n v="0"/>
    <n v="0"/>
    <n v="0"/>
    <n v="0"/>
    <n v="0"/>
    <n v="0"/>
    <x v="0"/>
    <x v="11"/>
    <x v="11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680."/>
    <s v="5.ACTIVIDAD"/>
    <s v="5006275. ATENCION ESTOMATOLOGICA PREVENTIVA BASICA"/>
    <s v="20. SALUD"/>
    <s v="044. SALUD INDIVIDUAL"/>
    <s v="0096. ATENCION MEDICA BASICA"/>
    <s v="00001"/>
    <s v="0053294. ATENCION ESTOMATOLOGICA PREVENTIVA BASICA"/>
    <s v="00087 - PERSONA ATENDIDA"/>
    <n v="15339"/>
    <n v="7669"/>
    <n v="904"/>
    <n v="904"/>
    <x v="24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1"/>
    <x v="11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2824. ATENCION AMBULATORIA DE URGENCIAS (PRIORIDAD III O IV) EN MODULOS HOSPITALARIOS DIFERENCIADOS AUTORIZADOS"/>
    <s v="20. SALUD"/>
    <s v="044. SALUD INDIVIDUAL"/>
    <s v="0096. ATENCION MEDICA BASICA"/>
    <s v="00001"/>
    <s v="0076144. ATENCION AMBULATORIA DE URGENCIAS (PRIORIDAD III O IV) EN MODULOS HOSPITALARIOS DIFERENCIADOS AUTORIZADOS"/>
    <s v="00006 - ATENCION"/>
    <n v="2000"/>
    <n v="1000"/>
    <n v="1994"/>
    <n v="1994"/>
    <x v="2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16500"/>
    <n v="13650"/>
    <n v="30150"/>
    <n v="21300"/>
    <n v="21300"/>
    <n v="4200"/>
    <n v="4950"/>
    <n v="4200"/>
    <n v="2500"/>
    <n v="2500"/>
    <n v="0"/>
    <n v="2950"/>
    <n v="0"/>
    <n v="0"/>
    <n v="0"/>
    <n v="0"/>
    <n v="0"/>
    <n v="4200"/>
    <n v="4950"/>
    <n v="4200"/>
    <n v="2500"/>
    <n v="2500"/>
    <n v="0"/>
    <n v="2950"/>
    <n v="0"/>
    <n v="0"/>
    <n v="0"/>
    <n v="0"/>
    <n v="0"/>
    <n v="3398.54"/>
    <n v="4678.2700000000004"/>
    <n v="4560.72"/>
    <n v="2648.62"/>
    <n v="2544.37"/>
    <n v="519.48"/>
    <n v="2397.6"/>
    <n v="0"/>
    <n v="0"/>
    <n v="0"/>
    <n v="0"/>
    <n v="0"/>
    <n v="3398.54"/>
    <n v="4673.07"/>
    <n v="4560.72"/>
    <n v="2653.82"/>
    <n v="2544.37"/>
    <n v="519.48"/>
    <n v="2397.6"/>
    <n v="0"/>
    <n v="0"/>
    <n v="0"/>
    <n v="0"/>
    <n v="0"/>
    <x v="0"/>
    <x v="11"/>
    <x v="11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3. ATENCION DE LA EMERGENCIA Y URGENCIA ESPECIALIZADA"/>
    <s v="20. SALUD"/>
    <s v="044. SALUD INDIVIDUAL"/>
    <s v="0097. ATENCION MEDICA ESPECIALIZADA"/>
    <s v="00001"/>
    <s v="0188299. ATENCION DE LA EMERGENCIA Y URGENCIA ESPECIALIZADA"/>
    <s v="00006 - ATENCION"/>
    <n v="25000"/>
    <n v="12500"/>
    <n v="7470"/>
    <n v="7470"/>
    <x v="2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461250"/>
    <n v="0"/>
    <n v="461250"/>
    <n v="323150"/>
    <n v="323150"/>
    <n v="37750"/>
    <n v="44650"/>
    <n v="43850"/>
    <n v="45150"/>
    <n v="45150"/>
    <n v="51800"/>
    <n v="54800"/>
    <n v="0"/>
    <n v="0"/>
    <n v="0"/>
    <n v="0"/>
    <n v="0"/>
    <n v="37750"/>
    <n v="44650"/>
    <n v="43850"/>
    <n v="45150"/>
    <n v="45150"/>
    <n v="51800"/>
    <n v="54800"/>
    <n v="0"/>
    <n v="0"/>
    <n v="0"/>
    <n v="0"/>
    <n v="0"/>
    <n v="27930.6"/>
    <n v="43546.61"/>
    <n v="46460.18"/>
    <n v="43454.2"/>
    <n v="44118.74"/>
    <n v="57828.2"/>
    <n v="48258.3"/>
    <n v="0"/>
    <n v="0"/>
    <n v="0"/>
    <n v="0"/>
    <n v="0"/>
    <n v="27930.6"/>
    <n v="43315.39"/>
    <n v="46486.81"/>
    <n v="43658.79"/>
    <n v="44118.74"/>
    <n v="57828.2"/>
    <n v="41574.300000000003"/>
    <n v="0"/>
    <n v="0"/>
    <n v="0"/>
    <n v="0"/>
    <n v="0"/>
    <x v="0"/>
    <x v="11"/>
    <x v="11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4. ATENCION DE LA EMERGENCIA DE CUIDADOS INTENSIVOS"/>
    <s v="20. SALUD"/>
    <s v="044. SALUD INDIVIDUAL"/>
    <s v="0097. ATENCION MEDICA ESPECIALIZADA"/>
    <s v="00001"/>
    <s v="0188300. ATENCION DE LA EMERGENCIA DE CUIDADOS INTENSIVOS"/>
    <s v="00006 - ATENCION"/>
    <n v="400"/>
    <n v="200"/>
    <n v="128"/>
    <n v="128"/>
    <x v="2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51250"/>
    <n v="57900"/>
    <n v="109150"/>
    <n v="72550"/>
    <n v="72550"/>
    <n v="12550"/>
    <n v="12550"/>
    <n v="11750"/>
    <n v="11750"/>
    <n v="11750"/>
    <n v="0"/>
    <n v="12200"/>
    <n v="0"/>
    <n v="0"/>
    <n v="0"/>
    <n v="0"/>
    <n v="0"/>
    <n v="12550"/>
    <n v="12550"/>
    <n v="11750"/>
    <n v="11750"/>
    <n v="11750"/>
    <n v="0"/>
    <n v="12200"/>
    <n v="0"/>
    <n v="0"/>
    <n v="0"/>
    <n v="0"/>
    <n v="0"/>
    <n v="9146.91"/>
    <n v="12920.26"/>
    <n v="12236.49"/>
    <n v="11247.85"/>
    <n v="11941.83"/>
    <n v="2856.66"/>
    <n v="9465.91"/>
    <n v="0"/>
    <n v="0"/>
    <n v="0"/>
    <n v="0"/>
    <n v="0"/>
    <n v="9146.91"/>
    <n v="12896.78"/>
    <n v="12242.82"/>
    <n v="11265"/>
    <n v="11941.83"/>
    <n v="2856.66"/>
    <n v="9465.91"/>
    <n v="0"/>
    <n v="0"/>
    <n v="0"/>
    <n v="0"/>
    <n v="0"/>
    <x v="0"/>
    <x v="11"/>
    <x v="11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5. ATENCION DE LA EMERGENCIA QUIRURGICA"/>
    <s v="20. SALUD"/>
    <s v="044. SALUD INDIVIDUAL"/>
    <s v="0097. ATENCION MEDICA ESPECIALIZADA"/>
    <s v="00001"/>
    <s v="0188301. ATENCION DE LA EMERGENCIA QUIRURGICA"/>
    <s v="00006 - ATENCION"/>
    <n v="3000"/>
    <n v="1500"/>
    <n v="1405"/>
    <n v="1405"/>
    <x v="3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201600"/>
    <n v="3300"/>
    <n v="204900"/>
    <n v="137850"/>
    <n v="137850"/>
    <n v="13950"/>
    <n v="16150"/>
    <n v="19300"/>
    <n v="18300"/>
    <n v="19200"/>
    <n v="30950"/>
    <n v="20000"/>
    <n v="0"/>
    <n v="0"/>
    <n v="0"/>
    <n v="0"/>
    <n v="0"/>
    <n v="13950"/>
    <n v="16150"/>
    <n v="19300"/>
    <n v="18300"/>
    <n v="19200"/>
    <n v="30950"/>
    <n v="20000"/>
    <n v="0"/>
    <n v="0"/>
    <n v="0"/>
    <n v="0"/>
    <n v="0"/>
    <n v="10080.19"/>
    <n v="15694.89"/>
    <n v="19728.849999999999"/>
    <n v="17772.259999999998"/>
    <n v="18893.87"/>
    <n v="31321.22"/>
    <n v="19564.45"/>
    <n v="0"/>
    <n v="0"/>
    <n v="0"/>
    <n v="0"/>
    <n v="0"/>
    <n v="10080.19"/>
    <n v="15642.56"/>
    <n v="19735.18"/>
    <n v="17818.259999999998"/>
    <n v="18886.240000000002"/>
    <n v="31307.68"/>
    <n v="19264.45"/>
    <n v="0"/>
    <n v="0"/>
    <n v="0"/>
    <n v="0"/>
    <n v="0"/>
    <x v="0"/>
    <x v="11"/>
    <x v="11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0"/>
    <s v=" ."/>
    <s v="3000688."/>
    <s v="5.ACTIVIDAD"/>
    <s v="5004449. CAPACITACION EN MEDICINA DE REHABILITACION"/>
    <s v="20. SALUD"/>
    <s v="044. SALUD INDIVIDUAL"/>
    <s v="0097. ATENCION MEDICA ESPECIALIZADA"/>
    <s v="00001"/>
    <s v="0136018. CAPACITACION EN MEDICINA DE REHABILITACION"/>
    <s v="00088 - PERSONA CAPACITADA"/>
    <n v="60"/>
    <n v="30"/>
    <n v="0"/>
    <n v="0"/>
    <x v="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13000"/>
    <n v="0"/>
    <n v="13000"/>
    <n v="9100"/>
    <n v="9100"/>
    <n v="1300"/>
    <n v="1300"/>
    <n v="1300"/>
    <n v="1300"/>
    <n v="1300"/>
    <n v="1300"/>
    <n v="1300"/>
    <n v="0"/>
    <n v="0"/>
    <n v="0"/>
    <n v="0"/>
    <n v="0"/>
    <n v="1300"/>
    <n v="1300"/>
    <n v="1300"/>
    <n v="1300"/>
    <n v="1300"/>
    <n v="1300"/>
    <n v="1300"/>
    <n v="0"/>
    <n v="0"/>
    <n v="0"/>
    <n v="0"/>
    <n v="0"/>
    <n v="824.27"/>
    <n v="1253.19"/>
    <n v="1386.71"/>
    <n v="1233.6600000000001"/>
    <n v="1285.3699999999999"/>
    <n v="1452.84"/>
    <n v="1184.8900000000001"/>
    <n v="0"/>
    <n v="0"/>
    <n v="0"/>
    <n v="0"/>
    <n v="0"/>
    <n v="824.27"/>
    <n v="1215.76"/>
    <n v="1389.74"/>
    <n v="1268.06"/>
    <n v="1285.3699999999999"/>
    <n v="1452.84"/>
    <n v="1184.8900000000001"/>
    <n v="0"/>
    <n v="0"/>
    <n v="0"/>
    <n v="0"/>
    <n v="0"/>
    <x v="0"/>
    <x v="11"/>
    <x v="11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698."/>
    <s v="5.ACTIVIDAD"/>
    <s v="5005188. TAMIZAJE DE PERSONAS CON TRASTORNOS MENTALES Y PROBLEMAS PSICOSOCIALES"/>
    <s v="20. SALUD"/>
    <s v="044. SALUD INDIVIDUAL"/>
    <s v="0096. ATENCION MEDICA BASICA"/>
    <s v="00001"/>
    <s v="0136780. TAMIZAJE DE PERSONAS CON TRASTORNOS MENTALES Y PROBLEMAS PSICOSOCIALES"/>
    <s v="00438 - PULGADAS"/>
    <n v="310"/>
    <n v="155"/>
    <n v="273"/>
    <n v="273"/>
    <x v="31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22000"/>
    <n v="8850"/>
    <n v="30850"/>
    <n v="23950"/>
    <n v="23950"/>
    <n v="3250"/>
    <n v="3450"/>
    <n v="3450"/>
    <n v="3450"/>
    <n v="3450"/>
    <n v="3450"/>
    <n v="3450"/>
    <n v="0"/>
    <n v="0"/>
    <n v="0"/>
    <n v="0"/>
    <n v="0"/>
    <n v="3250"/>
    <n v="3450"/>
    <n v="3450"/>
    <n v="3450"/>
    <n v="3450"/>
    <n v="3450"/>
    <n v="3450"/>
    <n v="0"/>
    <n v="0"/>
    <n v="0"/>
    <n v="0"/>
    <n v="0"/>
    <n v="2679.25"/>
    <n v="3083.18"/>
    <n v="3467.92"/>
    <n v="3449.76"/>
    <n v="3394"/>
    <n v="3843.92"/>
    <n v="3114.5"/>
    <n v="0"/>
    <n v="0"/>
    <n v="0"/>
    <n v="0"/>
    <n v="0"/>
    <n v="2679.25"/>
    <n v="3080.8"/>
    <n v="3470.3"/>
    <n v="3449.76"/>
    <n v="3394"/>
    <n v="3843.92"/>
    <n v="3114.5"/>
    <n v="0"/>
    <n v="0"/>
    <n v="0"/>
    <n v="0"/>
    <n v="0"/>
    <x v="0"/>
    <x v="11"/>
    <x v="11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377. MEJORAMIENTO DE LA OFERTA DE LOS SERVICIOS DE SALUD"/>
    <s v="20. SALUD"/>
    <s v="044. SALUD INDIVIDUAL"/>
    <s v="0097. ATENCION MEDICA ESPECIALIZADA"/>
    <s v="00001"/>
    <s v="0006831. MEJORAR LA ATENCION A LA POBLACION"/>
    <s v="00006 - ATENCION"/>
    <n v="2400"/>
    <n v="1200"/>
    <n v="940"/>
    <n v="940"/>
    <x v="3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6300"/>
    <n v="6700"/>
    <n v="13000"/>
    <n v="6750"/>
    <n v="6750"/>
    <n v="800"/>
    <n v="800"/>
    <n v="800"/>
    <n v="800"/>
    <n v="1250"/>
    <n v="1050"/>
    <n v="1250"/>
    <n v="0"/>
    <n v="0"/>
    <n v="0"/>
    <n v="0"/>
    <n v="0"/>
    <n v="800"/>
    <n v="800"/>
    <n v="800"/>
    <n v="800"/>
    <n v="1250"/>
    <n v="1050"/>
    <n v="1250"/>
    <n v="0"/>
    <n v="0"/>
    <n v="0"/>
    <n v="0"/>
    <n v="0"/>
    <n v="679.37"/>
    <n v="789.36"/>
    <n v="807.68"/>
    <n v="800"/>
    <n v="1147.32"/>
    <n v="1276.27"/>
    <n v="1056.51"/>
    <n v="0"/>
    <n v="0"/>
    <n v="0"/>
    <n v="0"/>
    <n v="0"/>
    <n v="679.37"/>
    <n v="789.36"/>
    <n v="807.68"/>
    <n v="800"/>
    <n v="1147.32"/>
    <n v="1276.27"/>
    <n v="1056.51"/>
    <n v="0"/>
    <n v="0"/>
    <n v="0"/>
    <n v="0"/>
    <n v="0"/>
    <x v="0"/>
    <x v="11"/>
    <x v="11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00. ATENCION BASICA DE SALUD"/>
    <s v="20. SALUD"/>
    <s v="044. SALUD INDIVIDUAL"/>
    <s v="0096. ATENCION MEDICA BASICA"/>
    <s v="00001"/>
    <s v="0000251. ATENCION BASICA"/>
    <s v="00006 - ATENCION"/>
    <n v="200000"/>
    <n v="100000"/>
    <n v="78000"/>
    <n v="78000"/>
    <x v="3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3600"/>
    <n v="307355"/>
    <n v="3109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1"/>
    <x v="11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10. ATENCION ESPECIALIZADA DE LA SALUD"/>
    <s v="20. SALUD"/>
    <s v="044. SALUD INDIVIDUAL"/>
    <s v="0097. ATENCION MEDICA ESPECIALIZADA"/>
    <s v="00001"/>
    <s v="0023484. ATENCION MEDICA ESPECIALIZADA"/>
    <s v="00006 - ATENCION"/>
    <n v="150000"/>
    <n v="75000"/>
    <n v="26347"/>
    <n v="26347"/>
    <x v="34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67610"/>
    <n v="0"/>
    <n v="67610"/>
    <n v="9350"/>
    <n v="9350"/>
    <n v="1050"/>
    <n v="1050"/>
    <n v="1050"/>
    <n v="1050"/>
    <n v="1050"/>
    <n v="3050"/>
    <n v="1050"/>
    <n v="0"/>
    <n v="0"/>
    <n v="0"/>
    <n v="0"/>
    <n v="0"/>
    <n v="1050"/>
    <n v="1050"/>
    <n v="1050"/>
    <n v="1050"/>
    <n v="1050"/>
    <n v="3050"/>
    <n v="1050"/>
    <n v="0"/>
    <n v="0"/>
    <n v="0"/>
    <n v="0"/>
    <n v="0"/>
    <n v="818.84"/>
    <n v="1046.71"/>
    <n v="1117.97"/>
    <n v="942.68"/>
    <n v="1108.75"/>
    <n v="2940.26"/>
    <n v="1159.4000000000001"/>
    <n v="0"/>
    <n v="0"/>
    <n v="0"/>
    <n v="0"/>
    <n v="0"/>
    <n v="818.84"/>
    <n v="982.46"/>
    <n v="1124.3800000000001"/>
    <n v="999.63"/>
    <n v="1108.1099999999999"/>
    <n v="2941.79"/>
    <n v="1159.4000000000001"/>
    <n v="0"/>
    <n v="0"/>
    <n v="0"/>
    <n v="0"/>
    <n v="0"/>
    <x v="0"/>
    <x v="11"/>
    <x v="11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2. ATENCION EN CONSULTAS EXTERNAS"/>
    <s v="20. SALUD"/>
    <s v="044. SALUD INDIVIDUAL"/>
    <s v="0097. ATENCION MEDICA ESPECIALIZADA"/>
    <s v="00001"/>
    <s v="0000266. ATENCION EN CONSULTAS EXTERNAS"/>
    <s v="00006 - ATENCION"/>
    <n v="150000"/>
    <n v="75000"/>
    <n v="31583"/>
    <n v="31583"/>
    <x v="35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36200"/>
    <n v="26200"/>
    <n v="62400"/>
    <n v="31800"/>
    <n v="31800"/>
    <n v="2100"/>
    <n v="3000"/>
    <n v="3000"/>
    <n v="3000"/>
    <n v="2100"/>
    <n v="8400"/>
    <n v="10200"/>
    <n v="0"/>
    <n v="0"/>
    <n v="0"/>
    <n v="0"/>
    <n v="0"/>
    <n v="2100"/>
    <n v="3000"/>
    <n v="3000"/>
    <n v="3000"/>
    <n v="2100"/>
    <n v="8400"/>
    <n v="10200"/>
    <n v="0"/>
    <n v="0"/>
    <n v="0"/>
    <n v="0"/>
    <n v="0"/>
    <n v="1813.79"/>
    <n v="2088.9299999999998"/>
    <n v="3011.2"/>
    <n v="3889.85"/>
    <n v="2068.08"/>
    <n v="8608.52"/>
    <n v="9334.94"/>
    <n v="0"/>
    <n v="0"/>
    <n v="0"/>
    <n v="0"/>
    <n v="0"/>
    <n v="1813.79"/>
    <n v="2088.9299999999998"/>
    <n v="3011.2"/>
    <n v="3889.85"/>
    <n v="2068.08"/>
    <n v="8608.52"/>
    <n v="9334.94"/>
    <n v="0"/>
    <n v="0"/>
    <n v="0"/>
    <n v="0"/>
    <n v="0"/>
    <x v="0"/>
    <x v="11"/>
    <x v="11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62400"/>
    <n v="-19800"/>
    <n v="42600"/>
    <n v="10100"/>
    <n v="10100"/>
    <n v="600"/>
    <n v="600"/>
    <n v="600"/>
    <n v="600"/>
    <n v="600"/>
    <n v="600"/>
    <n v="6500"/>
    <n v="0"/>
    <n v="0"/>
    <n v="0"/>
    <n v="0"/>
    <n v="0"/>
    <n v="600"/>
    <n v="600"/>
    <n v="600"/>
    <n v="600"/>
    <n v="600"/>
    <n v="600"/>
    <n v="6500"/>
    <n v="0"/>
    <n v="0"/>
    <n v="0"/>
    <n v="0"/>
    <n v="0"/>
    <n v="328.57"/>
    <n v="595.16"/>
    <n v="602.49"/>
    <n v="581.59"/>
    <n v="647.16999999999996"/>
    <n v="731.93"/>
    <n v="4351.59"/>
    <n v="0"/>
    <n v="0"/>
    <n v="0"/>
    <n v="0"/>
    <n v="0"/>
    <n v="328.57"/>
    <n v="588.63"/>
    <n v="609.02"/>
    <n v="580.70000000000005"/>
    <n v="646.64"/>
    <n v="733.35"/>
    <n v="4351.59"/>
    <n v="0"/>
    <n v="0"/>
    <n v="0"/>
    <n v="0"/>
    <n v="0"/>
    <x v="0"/>
    <x v="11"/>
    <x v="11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4. INTERVENCIONES QUIRURGICAS"/>
    <s v="20. SALUD"/>
    <s v="044. SALUD INDIVIDUAL"/>
    <s v="0097. ATENCION MEDICA ESPECIALIZADA"/>
    <s v="00001"/>
    <s v="0000257. ATENCION DE INTERVENCIONES QUIRURGICAS"/>
    <s v="00006 - ATENCION"/>
    <n v="20000"/>
    <n v="10000"/>
    <n v="8000"/>
    <n v="8000"/>
    <x v="3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99384"/>
    <n v="0"/>
    <n v="99384"/>
    <n v="12250"/>
    <n v="12250"/>
    <n v="1750"/>
    <n v="1750"/>
    <n v="1750"/>
    <n v="1750"/>
    <n v="1750"/>
    <n v="1750"/>
    <n v="1750"/>
    <n v="0"/>
    <n v="0"/>
    <n v="0"/>
    <n v="0"/>
    <n v="0"/>
    <n v="1750"/>
    <n v="1750"/>
    <n v="1750"/>
    <n v="1750"/>
    <n v="1750"/>
    <n v="1750"/>
    <n v="1750"/>
    <n v="0"/>
    <n v="0"/>
    <n v="0"/>
    <n v="0"/>
    <n v="0"/>
    <n v="1452.06"/>
    <n v="1716.15"/>
    <n v="1849.3"/>
    <n v="1650.07"/>
    <n v="1723.65"/>
    <n v="1980.05"/>
    <n v="1541.63"/>
    <n v="0"/>
    <n v="0"/>
    <n v="0"/>
    <n v="0"/>
    <n v="0"/>
    <n v="1452.06"/>
    <n v="1716.15"/>
    <n v="1849.3"/>
    <n v="1650.07"/>
    <n v="1723.65"/>
    <n v="1980.05"/>
    <n v="1541.63"/>
    <n v="0"/>
    <n v="0"/>
    <n v="0"/>
    <n v="0"/>
    <n v="0"/>
    <x v="0"/>
    <x v="11"/>
    <x v="11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6. OTRAS ATENCIONES DE SALUD ESPECIALIZADAS"/>
    <s v="20. SALUD"/>
    <s v="044. SALUD INDIVIDUAL"/>
    <s v="0097. ATENCION MEDICA ESPECIALIZADA"/>
    <s v="00001"/>
    <s v="0023484. ATENCION MEDICA ESPECIALIZADA"/>
    <s v="00006 - ATENCION"/>
    <n v="25000"/>
    <n v="12500"/>
    <n v="11000"/>
    <n v="11000"/>
    <x v="3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21159"/>
    <n v="0"/>
    <n v="21159"/>
    <n v="1350"/>
    <n v="1350"/>
    <n v="0"/>
    <n v="1350"/>
    <n v="0"/>
    <n v="0"/>
    <n v="0"/>
    <n v="0"/>
    <n v="0"/>
    <n v="0"/>
    <n v="0"/>
    <n v="0"/>
    <n v="0"/>
    <n v="0"/>
    <n v="0"/>
    <n v="1350"/>
    <n v="0"/>
    <n v="0"/>
    <n v="0"/>
    <n v="0"/>
    <n v="0"/>
    <n v="0"/>
    <n v="0"/>
    <n v="0"/>
    <n v="0"/>
    <n v="0"/>
    <n v="0"/>
    <n v="867.31"/>
    <n v="482.69"/>
    <n v="0"/>
    <n v="0"/>
    <n v="0"/>
    <n v="0"/>
    <n v="0"/>
    <n v="0"/>
    <n v="0"/>
    <n v="0"/>
    <n v="0"/>
    <n v="0"/>
    <n v="867.31"/>
    <n v="482.69"/>
    <n v="0"/>
    <n v="0"/>
    <n v="0"/>
    <n v="0"/>
    <n v="0"/>
    <n v="0"/>
    <n v="0"/>
    <n v="0"/>
    <n v="0"/>
    <x v="0"/>
    <x v="11"/>
    <x v="11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9. COMERCIALIZACION DE MEDICAMENTOS E INSUMOS"/>
    <s v="20. SALUD"/>
    <s v="044. SALUD INDIVIDUAL"/>
    <s v="0098. SERVICIOS DE DIAGNOSTICO Y TRATAMIENTO"/>
    <s v="00001"/>
    <s v="0001468. VENTA DE MEDICINAS"/>
    <s v="00006 - ATENCION"/>
    <n v="500000"/>
    <n v="250000"/>
    <n v="225000"/>
    <n v="225000"/>
    <x v="3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9600"/>
    <n v="3500"/>
    <n v="13100"/>
    <n v="9100"/>
    <n v="9100"/>
    <n v="2950"/>
    <n v="800"/>
    <n v="2150"/>
    <n v="800"/>
    <n v="800"/>
    <n v="800"/>
    <n v="800"/>
    <n v="0"/>
    <n v="0"/>
    <n v="0"/>
    <n v="0"/>
    <n v="0"/>
    <n v="2950"/>
    <n v="800"/>
    <n v="2150"/>
    <n v="800"/>
    <n v="800"/>
    <n v="800"/>
    <n v="800"/>
    <n v="0"/>
    <n v="0"/>
    <n v="0"/>
    <n v="0"/>
    <n v="0"/>
    <n v="2129.33"/>
    <n v="1272.77"/>
    <n v="1705.76"/>
    <n v="1104.83"/>
    <n v="939.41"/>
    <n v="849.94"/>
    <n v="700.45"/>
    <n v="0"/>
    <n v="0"/>
    <n v="0"/>
    <n v="0"/>
    <n v="0"/>
    <n v="2129.33"/>
    <n v="1173.02"/>
    <n v="1705.76"/>
    <n v="1204.58"/>
    <n v="939.41"/>
    <n v="849.94"/>
    <n v="700.45"/>
    <n v="0"/>
    <n v="0"/>
    <n v="0"/>
    <n v="0"/>
    <n v="0"/>
    <x v="0"/>
    <x v="11"/>
    <x v="11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001."/>
    <s v="5.ACTIVIDAD"/>
    <s v="5005138. MONITOREO, SUPERVISION Y EVALUACION DEL PROGRAMA PRESUPUESTAL"/>
    <s v="20. SALUD"/>
    <s v="004. PLANEAMIENTO GUBERNAMENTAL"/>
    <s v="0005. PLANEAMIENTO INSTITUCIONAL"/>
    <s v="00001"/>
    <s v="0136007. MONITOREO,SUPERVISION Y EVALUACION DEL PROGRAMA PRESUPUESTAL"/>
    <s v="00060 - INFORME"/>
    <n v="2"/>
    <n v="1"/>
    <n v="1"/>
    <n v="1"/>
    <x v="5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1"/>
    <x v="11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2. ATENCION DE LA EMERGENCIA Y URGENCIA BASICA"/>
    <s v="20. SALUD"/>
    <s v="044. SALUD INDIVIDUAL"/>
    <s v="0096. ATENCION MEDICA BASICA"/>
    <s v="00001"/>
    <s v="0188298. ATENCION DE LA EMERGENCIA Y URGENCIA BASICA"/>
    <s v="00006 - ATENCION"/>
    <n v="100"/>
    <n v="50"/>
    <n v="1"/>
    <n v="1"/>
    <x v="41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1"/>
    <x v="11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853. GESTION, SUPERVISION Y MONITOREO DEL FINANCIAMIENTO Y DE LA CALIDAD DE PRESTACION"/>
    <s v="20. SALUD"/>
    <s v="043. SALUD COLECTIVA"/>
    <s v="0093. REGULACION Y CONTROL SANITARIO"/>
    <s v="00001"/>
    <s v="0000009. ACCIONES ADMINISTRATIVAS"/>
    <s v="00001 - ACCION"/>
    <n v="1"/>
    <n v="1"/>
    <n v="1"/>
    <n v="1"/>
    <x v="4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3. BONIFICACIONES O ENTREGAS ECONOMICAS AL PUESTO DE PROFESIONALES DE LA SALUD"/>
    <s v="0 . RECURSOS ORDINARIO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1"/>
    <x v="11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255."/>
    <s v="5.ACTIVIDAD"/>
    <s v="5000018. ATENCION A NIÑOS CON CRECIMIENTO Y DESARROLLO - CRED COMPLETO PARA SU EDAD"/>
    <s v="20. SALUD"/>
    <s v="044. SALUD INDIVIDUAL"/>
    <s v="0096. ATENCION MEDICA BASICA"/>
    <s v="00001"/>
    <s v="0033255. NIÑOS CON CRED COMPLETO SEGUN EDAD"/>
    <s v="00219 - NIÑO CONTROLADO"/>
    <n v="1501"/>
    <n v="750"/>
    <n v="0"/>
    <n v="0"/>
    <x v="5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0"/>
    <n v="68188"/>
    <n v="681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2"/>
    <x v="12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315."/>
    <s v="5.ACTIVIDAD"/>
    <s v="5000031. BRINDAR ATENCION A OTRAS ENFERMEDADES PREVALENTES"/>
    <s v="20. SALUD"/>
    <s v="044. SALUD INDIVIDUAL"/>
    <s v="0096. ATENCION MEDICA BASICA"/>
    <s v="00001"/>
    <s v="0033315. ATENCION DE OTRAS ENFERMEDADES PREVALENTES"/>
    <s v="00016 - CASO TRATADO"/>
    <n v="440"/>
    <n v="220"/>
    <n v="198"/>
    <n v="198"/>
    <x v="6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6776"/>
    <n v="-616"/>
    <n v="6160"/>
    <n v="4312"/>
    <n v="4312"/>
    <n v="616"/>
    <n v="616"/>
    <n v="616"/>
    <n v="616"/>
    <n v="616"/>
    <n v="616"/>
    <n v="616"/>
    <n v="0"/>
    <n v="0"/>
    <n v="0"/>
    <n v="0"/>
    <n v="0"/>
    <n v="616"/>
    <n v="616"/>
    <n v="616"/>
    <n v="616"/>
    <n v="616"/>
    <n v="616"/>
    <n v="616"/>
    <n v="0"/>
    <n v="0"/>
    <n v="0"/>
    <n v="0"/>
    <n v="0"/>
    <n v="401.65"/>
    <n v="618.66999999999996"/>
    <n v="620.72"/>
    <n v="542.94000000000005"/>
    <n v="708.27"/>
    <n v="631.12"/>
    <n v="605.23"/>
    <n v="0"/>
    <n v="0"/>
    <n v="0"/>
    <n v="0"/>
    <n v="0"/>
    <n v="401.65"/>
    <n v="589.34"/>
    <n v="620.72"/>
    <n v="572.27"/>
    <n v="708.27"/>
    <n v="631.12"/>
    <n v="605.23"/>
    <n v="0"/>
    <n v="0"/>
    <n v="0"/>
    <n v="0"/>
    <n v="0"/>
    <x v="0"/>
    <x v="12"/>
    <x v="12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00005."/>
    <s v="5.ACTIVIDAD"/>
    <s v="5000058. BRINDAR SERVICIOS DE SALUD PARA PREVENCION DEL EMBARAZO A ADOLESCENTES"/>
    <s v="20. SALUD"/>
    <s v="044. SALUD INDIVIDUAL"/>
    <s v="0096. ATENCION MEDICA BASICA"/>
    <s v="00001"/>
    <s v="0053220. ADOLESCENTES ACCEDEN A SERVICIOS DE SALUD PARA PREVENCION DEL EMBARAZO"/>
    <s v="00150 - ADOLESCENTE"/>
    <n v="200"/>
    <n v="100"/>
    <n v="0"/>
    <n v="0"/>
    <x v="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158"/>
    <n v="0"/>
    <n v="1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2"/>
    <x v="12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172."/>
    <s v="5.ACTIVIDAD"/>
    <s v="5000037. BRINDAR ATENCION PRENATAL REENFOCADA"/>
    <s v="20. SALUD"/>
    <s v="044. SALUD INDIVIDUAL"/>
    <s v="0096. ATENCION MEDICA BASICA"/>
    <s v="00001"/>
    <s v="0033172. ATENCION PRENATAL REENFOCADA"/>
    <s v="00058 - GESTANTE CONTROLADA"/>
    <n v="3140"/>
    <n v="1570"/>
    <n v="1605"/>
    <n v="1605"/>
    <x v="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13974"/>
    <n v="2898"/>
    <n v="16872"/>
    <n v="9842"/>
    <n v="9842"/>
    <n v="1406"/>
    <n v="1406"/>
    <n v="1406"/>
    <n v="1406"/>
    <n v="1406"/>
    <n v="1406"/>
    <n v="1406"/>
    <n v="0"/>
    <n v="0"/>
    <n v="0"/>
    <n v="0"/>
    <n v="0"/>
    <n v="1406"/>
    <n v="1406"/>
    <n v="1406"/>
    <n v="1406"/>
    <n v="1406"/>
    <n v="1406"/>
    <n v="1406"/>
    <n v="0"/>
    <n v="0"/>
    <n v="0"/>
    <n v="0"/>
    <n v="0"/>
    <n v="1237.28"/>
    <n v="1307.22"/>
    <n v="1396.63"/>
    <n v="1341.26"/>
    <n v="1435.76"/>
    <n v="1643"/>
    <n v="1175.69"/>
    <n v="0"/>
    <n v="0"/>
    <n v="0"/>
    <n v="0"/>
    <n v="0"/>
    <n v="1237.28"/>
    <n v="1288.97"/>
    <n v="1396.63"/>
    <n v="1359.51"/>
    <n v="1435.76"/>
    <n v="1490.87"/>
    <n v="1175.69"/>
    <n v="0"/>
    <n v="0"/>
    <n v="0"/>
    <n v="0"/>
    <n v="0"/>
    <x v="0"/>
    <x v="12"/>
    <x v="12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1."/>
    <s v="5.ACTIVIDAD"/>
    <s v="5000042. MEJORAMIENTO DEL ACCESO DE LA POBLACION A METODOS DE PLANIFICACION FAMILIAR"/>
    <s v="20. SALUD"/>
    <s v="044. SALUD INDIVIDUAL"/>
    <s v="0096. ATENCION MEDICA BASICA"/>
    <s v="00001"/>
    <s v="0033291. POBLACION ACCEDE A METODOS DE PLANIFICACION FAMILIAR"/>
    <s v="00206 - PAREJA PROTEGIDA"/>
    <n v="2838"/>
    <n v="1419"/>
    <n v="909"/>
    <n v="909"/>
    <x v="44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158"/>
    <n v="0"/>
    <n v="1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2"/>
    <x v="12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4."/>
    <s v="5.ACTIVIDAD"/>
    <s v="5000044. BRINDAR ATENCION A LA GESTANTE CON COMPLICACIONES"/>
    <s v="20. SALUD"/>
    <s v="044. SALUD INDIVIDUAL"/>
    <s v="0097. ATENCION MEDICA ESPECIALIZADA"/>
    <s v="00001"/>
    <s v="0033294. ATENCION DE LA GESTANTE CON COMPLICACIONES"/>
    <s v="00016 - CASO TRATADO"/>
    <n v="4100"/>
    <n v="2050"/>
    <n v="1830"/>
    <n v="1830"/>
    <x v="1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19320"/>
    <n v="0"/>
    <n v="19320"/>
    <n v="4424"/>
    <n v="4424"/>
    <n v="632"/>
    <n v="632"/>
    <n v="632"/>
    <n v="632"/>
    <n v="632"/>
    <n v="632"/>
    <n v="632"/>
    <n v="0"/>
    <n v="0"/>
    <n v="0"/>
    <n v="0"/>
    <n v="0"/>
    <n v="632"/>
    <n v="632"/>
    <n v="632"/>
    <n v="632"/>
    <n v="632"/>
    <n v="632"/>
    <n v="632"/>
    <n v="0"/>
    <n v="0"/>
    <n v="0"/>
    <n v="0"/>
    <n v="0"/>
    <n v="444.74"/>
    <n v="639.08000000000004"/>
    <n v="614.05999999999995"/>
    <n v="636.24"/>
    <n v="639.59"/>
    <n v="664.83"/>
    <n v="604.32000000000005"/>
    <n v="0"/>
    <n v="0"/>
    <n v="0"/>
    <n v="0"/>
    <n v="0"/>
    <n v="444.74"/>
    <n v="625.54"/>
    <n v="614.05999999999995"/>
    <n v="649.78"/>
    <n v="639.59"/>
    <n v="664.83"/>
    <n v="604.32000000000005"/>
    <n v="0"/>
    <n v="0"/>
    <n v="0"/>
    <n v="0"/>
    <n v="0"/>
    <x v="0"/>
    <x v="12"/>
    <x v="12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5."/>
    <s v="5.ACTIVIDAD"/>
    <s v="5000045. BRINDAR ATENCION DE PARTO NORMAL"/>
    <s v="20. SALUD"/>
    <s v="044. SALUD INDIVIDUAL"/>
    <s v="0096. ATENCION MEDICA BASICA"/>
    <s v="00001"/>
    <s v="0033295. ATENCION DEL PARTO NORMAL"/>
    <s v="00208 - PARTO NORMAL"/>
    <n v="1400"/>
    <n v="700"/>
    <n v="447"/>
    <n v="447"/>
    <x v="11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10112"/>
    <n v="-4520"/>
    <n v="5592"/>
    <n v="3262"/>
    <n v="3262"/>
    <n v="466"/>
    <n v="466"/>
    <n v="466"/>
    <n v="466"/>
    <n v="466"/>
    <n v="466"/>
    <n v="466"/>
    <n v="0"/>
    <n v="0"/>
    <n v="0"/>
    <n v="0"/>
    <n v="0"/>
    <n v="466"/>
    <n v="466"/>
    <n v="466"/>
    <n v="466"/>
    <n v="466"/>
    <n v="466"/>
    <n v="466"/>
    <n v="0"/>
    <n v="0"/>
    <n v="0"/>
    <n v="0"/>
    <n v="0"/>
    <n v="223.88"/>
    <n v="463.64"/>
    <n v="474.01"/>
    <n v="340.47"/>
    <n v="584.01"/>
    <n v="494.3"/>
    <n v="438.94"/>
    <n v="0"/>
    <n v="0"/>
    <n v="0"/>
    <n v="0"/>
    <n v="0"/>
    <n v="223.88"/>
    <n v="431.64"/>
    <n v="474.01"/>
    <n v="372.47"/>
    <n v="584.01"/>
    <n v="494.3"/>
    <n v="438.94"/>
    <n v="0"/>
    <n v="0"/>
    <n v="0"/>
    <n v="0"/>
    <n v="0"/>
    <x v="0"/>
    <x v="12"/>
    <x v="12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7."/>
    <s v="5.ACTIVIDAD"/>
    <s v="5000047. BRINDAR ATENCION DEL PARTO COMPLICADO QUIRURGICO"/>
    <s v="20. SALUD"/>
    <s v="044. SALUD INDIVIDUAL"/>
    <s v="0097. ATENCION MEDICA ESPECIALIZADA"/>
    <s v="00001"/>
    <s v="0033297. ATENCION DEL PARTO COMPLICADO QUIRURGICO"/>
    <s v="00210 - CESAREA"/>
    <n v="1550"/>
    <n v="775"/>
    <n v="747"/>
    <n v="747"/>
    <x v="1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15800"/>
    <n v="0"/>
    <n v="15800"/>
    <n v="12166"/>
    <n v="12166"/>
    <n v="1738"/>
    <n v="1738"/>
    <n v="1738"/>
    <n v="1738"/>
    <n v="1738"/>
    <n v="1738"/>
    <n v="1738"/>
    <n v="0"/>
    <n v="0"/>
    <n v="0"/>
    <n v="0"/>
    <n v="0"/>
    <n v="1738"/>
    <n v="1738"/>
    <n v="1738"/>
    <n v="1738"/>
    <n v="1738"/>
    <n v="1738"/>
    <n v="1738"/>
    <n v="0"/>
    <n v="0"/>
    <n v="0"/>
    <n v="0"/>
    <n v="0"/>
    <n v="1142.8"/>
    <n v="1706.27"/>
    <n v="1802.91"/>
    <n v="1571.49"/>
    <n v="1799.76"/>
    <n v="1960.35"/>
    <n v="1619.72"/>
    <n v="0"/>
    <n v="0"/>
    <n v="0"/>
    <n v="0"/>
    <n v="0"/>
    <n v="1142.8"/>
    <n v="1685.73"/>
    <n v="1802.91"/>
    <n v="1592.03"/>
    <n v="1799.76"/>
    <n v="1960.35"/>
    <n v="1619.72"/>
    <n v="0"/>
    <n v="0"/>
    <n v="0"/>
    <n v="0"/>
    <n v="0"/>
    <x v="0"/>
    <x v="12"/>
    <x v="12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8."/>
    <s v="5.ACTIVIDAD"/>
    <s v="5000048. ATENDER EL PUERPERIO"/>
    <s v="20. SALUD"/>
    <s v="044. SALUD INDIVIDUAL"/>
    <s v="0096. ATENCION MEDICA BASICA"/>
    <s v="00001"/>
    <s v="0033298. ATENCION DEL PUERPERIO"/>
    <s v="00628 - DELITO ATENDIDO"/>
    <n v="150"/>
    <n v="75"/>
    <n v="15"/>
    <n v="15"/>
    <x v="14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14694"/>
    <n v="0"/>
    <n v="14694"/>
    <n v="3869.94"/>
    <n v="3869.94"/>
    <n v="1357.94"/>
    <n v="1256"/>
    <n v="1256"/>
    <n v="0"/>
    <n v="0"/>
    <n v="0"/>
    <n v="0"/>
    <n v="0"/>
    <n v="0"/>
    <n v="0"/>
    <n v="0"/>
    <n v="0"/>
    <n v="1357.94"/>
    <n v="1256"/>
    <n v="1256"/>
    <n v="0"/>
    <n v="0"/>
    <n v="0"/>
    <n v="0"/>
    <n v="0"/>
    <n v="0"/>
    <n v="0"/>
    <n v="0"/>
    <n v="0"/>
    <n v="627.27"/>
    <n v="1405.36"/>
    <n v="1366.56"/>
    <n v="402.24"/>
    <n v="68.510000000000005"/>
    <n v="0"/>
    <n v="0"/>
    <n v="0"/>
    <n v="0"/>
    <n v="0"/>
    <n v="0"/>
    <n v="0"/>
    <n v="627.27"/>
    <n v="1403.91"/>
    <n v="1366.56"/>
    <n v="403.69"/>
    <n v="68.510000000000005"/>
    <n v="0"/>
    <n v="0"/>
    <n v="0"/>
    <n v="0"/>
    <n v="0"/>
    <n v="0"/>
    <n v="0"/>
    <x v="0"/>
    <x v="12"/>
    <x v="12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9."/>
    <s v="5.ACTIVIDAD"/>
    <s v="5000049. ATENDER EL PUERPERIO CON COMPLICACIONES"/>
    <s v="20. SALUD"/>
    <s v="044. SALUD INDIVIDUAL"/>
    <s v="0097. ATENCION MEDICA ESPECIALIZADA"/>
    <s v="00001"/>
    <s v="0033299. ATENCION DEL PUERPERIO CON COMPLICACIONES"/>
    <s v="00016 - CASO TRATADO"/>
    <n v="240"/>
    <n v="120"/>
    <n v="94"/>
    <n v="94"/>
    <x v="15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2528"/>
    <n v="0"/>
    <n v="2528"/>
    <n v="1106"/>
    <n v="1106"/>
    <n v="158"/>
    <n v="158"/>
    <n v="158"/>
    <n v="158"/>
    <n v="158"/>
    <n v="158"/>
    <n v="158"/>
    <n v="0"/>
    <n v="0"/>
    <n v="0"/>
    <n v="0"/>
    <n v="0"/>
    <n v="158"/>
    <n v="158"/>
    <n v="158"/>
    <n v="158"/>
    <n v="158"/>
    <n v="158"/>
    <n v="158"/>
    <n v="0"/>
    <n v="0"/>
    <n v="0"/>
    <n v="0"/>
    <n v="0"/>
    <n v="48.31"/>
    <n v="158"/>
    <n v="158"/>
    <n v="136.81"/>
    <n v="179.18"/>
    <n v="186.28"/>
    <n v="129.72999999999999"/>
    <n v="0"/>
    <n v="0"/>
    <n v="0"/>
    <n v="0"/>
    <n v="0"/>
    <n v="48.31"/>
    <n v="158"/>
    <n v="158"/>
    <n v="136.81"/>
    <n v="179.18"/>
    <n v="186.28"/>
    <n v="129.72999999999999"/>
    <n v="0"/>
    <n v="0"/>
    <n v="0"/>
    <n v="0"/>
    <n v="0"/>
    <x v="0"/>
    <x v="12"/>
    <x v="12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0."/>
    <s v="5.ACTIVIDAD"/>
    <s v="5000050. ATENDER COMPLICACIONES OBSTETRICAS EN UNIDAD DE CUIDADOS INTENSIVOS"/>
    <s v="20. SALUD"/>
    <s v="044. SALUD INDIVIDUAL"/>
    <s v="0097. ATENCION MEDICA ESPECIALIZADA"/>
    <s v="00001"/>
    <s v="0033300. ATENCION OBSTETRICA EN UNIDAD DE CUIDADOS INTENSIVOS"/>
    <s v="00016 - CASO TRATADO"/>
    <n v="68"/>
    <n v="34"/>
    <n v="16"/>
    <n v="16"/>
    <x v="16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19644"/>
    <n v="-876"/>
    <n v="18768"/>
    <n v="10948"/>
    <n v="10948"/>
    <n v="1564"/>
    <n v="1564"/>
    <n v="1564"/>
    <n v="1564"/>
    <n v="1564"/>
    <n v="1564"/>
    <n v="1564"/>
    <n v="0"/>
    <n v="0"/>
    <n v="0"/>
    <n v="0"/>
    <n v="0"/>
    <n v="1564"/>
    <n v="1564"/>
    <n v="1564"/>
    <n v="1564"/>
    <n v="1564"/>
    <n v="1564"/>
    <n v="1564"/>
    <n v="0"/>
    <n v="0"/>
    <n v="0"/>
    <n v="0"/>
    <n v="0"/>
    <n v="1151.6099999999999"/>
    <n v="1601.52"/>
    <n v="1586.17"/>
    <n v="1435.7"/>
    <n v="1509.42"/>
    <n v="1878"/>
    <n v="1277.4000000000001"/>
    <n v="0"/>
    <n v="0"/>
    <n v="0"/>
    <n v="0"/>
    <n v="0"/>
    <n v="1151.6099999999999"/>
    <n v="1583.52"/>
    <n v="1586.17"/>
    <n v="1453.7"/>
    <n v="1509.42"/>
    <n v="1878"/>
    <n v="1277.4000000000001"/>
    <n v="0"/>
    <n v="0"/>
    <n v="0"/>
    <n v="0"/>
    <n v="0"/>
    <x v="0"/>
    <x v="12"/>
    <x v="12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5."/>
    <s v="5.ACTIVIDAD"/>
    <s v="5000053. ATENDER AL RECIEN NACIDO NORMAL"/>
    <s v="20. SALUD"/>
    <s v="044. SALUD INDIVIDUAL"/>
    <s v="0096. ATENCION MEDICA BASICA"/>
    <s v="00001"/>
    <s v="0033305. ATENCION DEL RECIEN NACIDO NORMAL"/>
    <s v="00239 - RECIEN NACIDO ATENDIDO"/>
    <n v="7546"/>
    <n v="3773"/>
    <n v="2820"/>
    <n v="2820"/>
    <x v="1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7576"/>
    <n v="8"/>
    <n v="7584"/>
    <n v="4424"/>
    <n v="4424"/>
    <n v="632"/>
    <n v="632"/>
    <n v="632"/>
    <n v="632"/>
    <n v="632"/>
    <n v="632"/>
    <n v="632"/>
    <n v="0"/>
    <n v="0"/>
    <n v="0"/>
    <n v="0"/>
    <n v="0"/>
    <n v="632"/>
    <n v="632"/>
    <n v="632"/>
    <n v="632"/>
    <n v="632"/>
    <n v="632"/>
    <n v="632"/>
    <n v="0"/>
    <n v="0"/>
    <n v="0"/>
    <n v="0"/>
    <n v="0"/>
    <n v="489.36"/>
    <n v="612.99"/>
    <n v="644.57000000000005"/>
    <n v="625.99"/>
    <n v="642.14"/>
    <n v="715.29"/>
    <n v="530.64"/>
    <n v="0"/>
    <n v="0"/>
    <n v="0"/>
    <n v="0"/>
    <n v="0"/>
    <n v="489.36"/>
    <n v="601.99"/>
    <n v="644.57000000000005"/>
    <n v="636.99"/>
    <n v="642.14"/>
    <n v="715.29"/>
    <n v="530.64"/>
    <n v="0"/>
    <n v="0"/>
    <n v="0"/>
    <n v="0"/>
    <n v="0"/>
    <x v="0"/>
    <x v="12"/>
    <x v="12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6."/>
    <s v="5.ACTIVIDAD"/>
    <s v="5000054. ATENDER AL RECIEN NACIDO CON COMPLICACIONES"/>
    <s v="20. SALUD"/>
    <s v="044. SALUD INDIVIDUAL"/>
    <s v="0097. ATENCION MEDICA ESPECIALIZADA"/>
    <s v="00001"/>
    <s v="0033306. ATENCION DEL RECIEN NACIDO CON COMPLICACIONES"/>
    <s v="00016 - CASO TRATADO"/>
    <n v="2469"/>
    <n v="1234"/>
    <n v="728"/>
    <n v="728"/>
    <x v="1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13860"/>
    <n v="0"/>
    <n v="13860"/>
    <n v="9730"/>
    <n v="9730"/>
    <n v="1390"/>
    <n v="1390"/>
    <n v="1390"/>
    <n v="1390"/>
    <n v="1390"/>
    <n v="1390"/>
    <n v="1390"/>
    <n v="0"/>
    <n v="0"/>
    <n v="0"/>
    <n v="0"/>
    <n v="0"/>
    <n v="1390"/>
    <n v="1390"/>
    <n v="1390"/>
    <n v="1390"/>
    <n v="1390"/>
    <n v="1390"/>
    <n v="1390"/>
    <n v="0"/>
    <n v="0"/>
    <n v="0"/>
    <n v="0"/>
    <n v="0"/>
    <n v="972.19"/>
    <n v="1389.62"/>
    <n v="1326.27"/>
    <n v="1349.77"/>
    <n v="1455.01"/>
    <n v="1476.06"/>
    <n v="1311.53"/>
    <n v="0"/>
    <n v="0"/>
    <n v="0"/>
    <n v="0"/>
    <n v="0"/>
    <n v="972.19"/>
    <n v="1382.75"/>
    <n v="1326.27"/>
    <n v="1356.64"/>
    <n v="1455.01"/>
    <n v="1476.06"/>
    <n v="1311.53"/>
    <n v="0"/>
    <n v="0"/>
    <n v="0"/>
    <n v="0"/>
    <n v="0"/>
    <x v="0"/>
    <x v="12"/>
    <x v="12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14."/>
    <s v="5.ACTIVIDAD"/>
    <s v="5004438. DIAGNOSTICO DE CASOS DE TUBERCULOSIS"/>
    <s v="20. SALUD"/>
    <s v="044. SALUD INDIVIDUAL"/>
    <s v="0096. ATENCION MEDICA BASICA"/>
    <s v="00001"/>
    <s v="0043964. DIAGNOSTICO DE CASOS DE TUBERCULOSIS"/>
    <s v="00393 - TASA"/>
    <n v="140"/>
    <n v="70"/>
    <n v="48"/>
    <n v="48"/>
    <x v="2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1738"/>
    <n v="158"/>
    <n v="1896"/>
    <n v="1106"/>
    <n v="1106"/>
    <n v="158"/>
    <n v="158"/>
    <n v="158"/>
    <n v="158"/>
    <n v="158"/>
    <n v="158"/>
    <n v="158"/>
    <n v="0"/>
    <n v="0"/>
    <n v="0"/>
    <n v="0"/>
    <n v="0"/>
    <n v="158"/>
    <n v="158"/>
    <n v="158"/>
    <n v="158"/>
    <n v="158"/>
    <n v="158"/>
    <n v="158"/>
    <n v="0"/>
    <n v="0"/>
    <n v="0"/>
    <n v="0"/>
    <n v="0"/>
    <n v="47.81"/>
    <n v="163.62"/>
    <n v="168.67"/>
    <n v="155.55000000000001"/>
    <n v="158.66"/>
    <n v="159.25"/>
    <n v="158.44999999999999"/>
    <n v="0"/>
    <n v="0"/>
    <n v="0"/>
    <n v="0"/>
    <n v="0"/>
    <n v="47.81"/>
    <n v="163.62"/>
    <n v="168.67"/>
    <n v="155.55000000000001"/>
    <n v="158.66"/>
    <n v="159.25"/>
    <n v="158.44999999999999"/>
    <n v="0"/>
    <n v="0"/>
    <n v="0"/>
    <n v="0"/>
    <n v="0"/>
    <x v="0"/>
    <x v="12"/>
    <x v="12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2."/>
    <s v="5.ACTIVIDAD"/>
    <s v="5000110. BRINDAR TRATAMIENTO A PACIENTES CON DIAGNOSTICO DE CATARATAS"/>
    <s v="20. SALUD"/>
    <s v="044. SALUD INDIVIDUAL"/>
    <s v="0097. ATENCION MEDICA ESPECIALIZADA"/>
    <s v="00001"/>
    <s v="0135994. BRINDAR TRATAMIENTO A PACIENTES CON DIAGNOSTICO DE CATARATAS"/>
    <s v="00394 - TECNICO"/>
    <n v="648"/>
    <n v="324"/>
    <n v="141"/>
    <n v="141"/>
    <x v="2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1580"/>
    <n v="316"/>
    <n v="1896"/>
    <n v="1106"/>
    <n v="1106"/>
    <n v="158"/>
    <n v="158"/>
    <n v="158"/>
    <n v="158"/>
    <n v="158"/>
    <n v="158"/>
    <n v="158"/>
    <n v="0"/>
    <n v="0"/>
    <n v="0"/>
    <n v="0"/>
    <n v="0"/>
    <n v="158"/>
    <n v="158"/>
    <n v="158"/>
    <n v="158"/>
    <n v="158"/>
    <n v="158"/>
    <n v="158"/>
    <n v="0"/>
    <n v="0"/>
    <n v="0"/>
    <n v="0"/>
    <n v="0"/>
    <n v="134.15"/>
    <n v="160.5"/>
    <n v="156.59"/>
    <n v="154.44"/>
    <n v="159.22"/>
    <n v="165.76"/>
    <n v="158.83000000000001"/>
    <n v="0"/>
    <n v="0"/>
    <n v="0"/>
    <n v="0"/>
    <n v="0"/>
    <n v="134.15"/>
    <n v="158.5"/>
    <n v="156.59"/>
    <n v="156.44"/>
    <n v="159.22"/>
    <n v="165.76"/>
    <n v="158.83000000000001"/>
    <n v="0"/>
    <n v="0"/>
    <n v="0"/>
    <n v="0"/>
    <n v="0"/>
    <x v="0"/>
    <x v="12"/>
    <x v="12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6."/>
    <s v="5.ACTIVIDAD"/>
    <s v="5000114. BRINDAR TRATAMIENTO A PERSONAS CON DIAGNOSTICO DE HIPERTENSION ARTERIAL"/>
    <s v="20. SALUD"/>
    <s v="044. SALUD INDIVIDUAL"/>
    <s v="0097. ATENCION MEDICA ESPECIALIZADA"/>
    <s v="00001"/>
    <s v="0135998. BRINDAR TRATAMIENTO A PERSONAS CON DIAGNOSTICO DE HIPERTENSION ARTERIAL"/>
    <s v="00394 - TECNICO"/>
    <n v="771"/>
    <n v="385"/>
    <n v="382"/>
    <n v="382"/>
    <x v="2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1738"/>
    <n v="0"/>
    <n v="1738"/>
    <n v="1106"/>
    <n v="1106"/>
    <n v="158"/>
    <n v="158"/>
    <n v="158"/>
    <n v="158"/>
    <n v="158"/>
    <n v="158"/>
    <n v="158"/>
    <n v="0"/>
    <n v="0"/>
    <n v="0"/>
    <n v="0"/>
    <n v="0"/>
    <n v="158"/>
    <n v="158"/>
    <n v="158"/>
    <n v="158"/>
    <n v="158"/>
    <n v="158"/>
    <n v="158"/>
    <n v="0"/>
    <n v="0"/>
    <n v="0"/>
    <n v="0"/>
    <n v="0"/>
    <n v="125.32"/>
    <n v="158"/>
    <n v="160.01"/>
    <n v="155.99"/>
    <n v="158"/>
    <n v="187.33"/>
    <n v="128.66999999999999"/>
    <n v="0"/>
    <n v="0"/>
    <n v="0"/>
    <n v="0"/>
    <n v="0"/>
    <n v="125.32"/>
    <n v="158"/>
    <n v="160.01"/>
    <n v="155.99"/>
    <n v="158"/>
    <n v="187.33"/>
    <n v="128.66999999999999"/>
    <n v="0"/>
    <n v="0"/>
    <n v="0"/>
    <n v="0"/>
    <n v="0"/>
    <x v="0"/>
    <x v="12"/>
    <x v="12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65."/>
    <s v="5.ACTIVIDAD"/>
    <s v="5006012. DIAGNOSTICO DEL CANCER DE CUELLO UTERINO"/>
    <s v="20. SALUD"/>
    <s v="044. SALUD INDIVIDUAL"/>
    <s v="0097. ATENCION MEDICA ESPECIALIZADA"/>
    <s v="00001"/>
    <s v="0215085. DIAGNOSTICO DEL CANCER DE CUELLO UTERINO"/>
    <s v="00393 - TASA"/>
    <n v="128"/>
    <n v="64"/>
    <n v="17"/>
    <n v="17"/>
    <x v="25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3476"/>
    <n v="0"/>
    <n v="3476"/>
    <n v="474"/>
    <n v="474"/>
    <n v="474"/>
    <n v="0"/>
    <n v="0"/>
    <n v="0"/>
    <n v="0"/>
    <n v="0"/>
    <n v="0"/>
    <n v="0"/>
    <n v="0"/>
    <n v="0"/>
    <n v="0"/>
    <n v="0"/>
    <n v="474"/>
    <n v="0"/>
    <n v="0"/>
    <n v="0"/>
    <n v="0"/>
    <n v="0"/>
    <n v="0"/>
    <n v="0"/>
    <n v="0"/>
    <n v="0"/>
    <n v="0"/>
    <n v="0"/>
    <n v="353.07"/>
    <n v="120.93"/>
    <n v="0"/>
    <n v="-1"/>
    <n v="1"/>
    <n v="0"/>
    <n v="0"/>
    <n v="0"/>
    <n v="0"/>
    <n v="0"/>
    <n v="0"/>
    <n v="0"/>
    <n v="353.07"/>
    <n v="119.93"/>
    <n v="0"/>
    <n v="0"/>
    <n v="1"/>
    <n v="0"/>
    <n v="0"/>
    <n v="0"/>
    <n v="0"/>
    <n v="0"/>
    <n v="0"/>
    <n v="0"/>
    <x v="0"/>
    <x v="12"/>
    <x v="12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734."/>
    <s v="5.ACTIVIDAD"/>
    <s v="5005612. DESARROLLO DE LOS CENTROS Y ESPACIOS DE MONITOREO DE EMERGENCIAS Y DESASTRES"/>
    <s v="20. SALUD"/>
    <s v="016. GESTION DE RIESGOS Y EMERGENCIAS"/>
    <s v="0036. ATENCION INMEDIATA DE DESASTRES"/>
    <s v="00001"/>
    <s v="0160879. DESARROLLO DE LOS CENTROS Y ESPACIOS DE MONITOREO DE EMERGENCIAS Y DESASTRES"/>
    <s v="00248 - REPORTE"/>
    <n v="12"/>
    <n v="6"/>
    <n v="6"/>
    <n v="6"/>
    <x v="26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3388"/>
    <n v="0"/>
    <n v="33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2"/>
    <x v="12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2824. ATENCION AMBULATORIA DE URGENCIAS (PRIORIDAD III O IV) EN MODULOS HOSPITALARIOS DIFERENCIADOS AUTORIZADOS"/>
    <s v="20. SALUD"/>
    <s v="044. SALUD INDIVIDUAL"/>
    <s v="0096. ATENCION MEDICA BASICA"/>
    <s v="00001"/>
    <s v="0076144. ATENCION AMBULATORIA DE URGENCIAS (PRIORIDAD III O IV) EN MODULOS HOSPITALARIOS DIFERENCIADOS AUTORIZADOS"/>
    <s v="00006 - ATENCION"/>
    <n v="2000"/>
    <n v="1000"/>
    <n v="1994"/>
    <n v="1994"/>
    <x v="2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37895"/>
    <n v="-25500"/>
    <n v="12395"/>
    <n v="9968"/>
    <n v="9968"/>
    <n v="3562"/>
    <n v="474"/>
    <n v="4036"/>
    <n v="474"/>
    <n v="474"/>
    <n v="474"/>
    <n v="474"/>
    <n v="0"/>
    <n v="0"/>
    <n v="0"/>
    <n v="0"/>
    <n v="0"/>
    <n v="3562"/>
    <n v="474"/>
    <n v="4036"/>
    <n v="474"/>
    <n v="474"/>
    <n v="474"/>
    <n v="474"/>
    <n v="0"/>
    <n v="0"/>
    <n v="0"/>
    <n v="0"/>
    <n v="0"/>
    <n v="2329.7199999999998"/>
    <n v="1584.39"/>
    <n v="2840.45"/>
    <n v="1636.94"/>
    <n v="558.92999999999995"/>
    <n v="495.95"/>
    <n v="415.69"/>
    <n v="0"/>
    <n v="0"/>
    <n v="0"/>
    <n v="0"/>
    <n v="0"/>
    <n v="2329.7199999999998"/>
    <n v="1568.39"/>
    <n v="2840.45"/>
    <n v="1652.94"/>
    <n v="558.92999999999995"/>
    <n v="495.95"/>
    <n v="415.69"/>
    <n v="0"/>
    <n v="0"/>
    <n v="0"/>
    <n v="0"/>
    <n v="0"/>
    <x v="0"/>
    <x v="12"/>
    <x v="12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3. ATENCION DE LA EMERGENCIA Y URGENCIA ESPECIALIZADA"/>
    <s v="20. SALUD"/>
    <s v="044. SALUD INDIVIDUAL"/>
    <s v="0097. ATENCION MEDICA ESPECIALIZADA"/>
    <s v="00001"/>
    <s v="0188299. ATENCION DE LA EMERGENCIA Y URGENCIA ESPECIALIZADA"/>
    <s v="00006 - ATENCION"/>
    <n v="25000"/>
    <n v="12500"/>
    <n v="7470"/>
    <n v="7470"/>
    <x v="2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107323"/>
    <n v="-30922"/>
    <n v="76401"/>
    <n v="45280.45"/>
    <n v="45280.45"/>
    <n v="5434"/>
    <n v="8883.5"/>
    <n v="5434"/>
    <n v="6532"/>
    <n v="6459.42"/>
    <n v="6313.53"/>
    <n v="6224"/>
    <n v="0"/>
    <n v="0"/>
    <n v="0"/>
    <n v="0"/>
    <n v="0"/>
    <n v="5434"/>
    <n v="8883.5"/>
    <n v="5434"/>
    <n v="6532"/>
    <n v="6459.42"/>
    <n v="6313.53"/>
    <n v="6224"/>
    <n v="0"/>
    <n v="0"/>
    <n v="0"/>
    <n v="0"/>
    <n v="0"/>
    <n v="3993.91"/>
    <n v="7515.41"/>
    <n v="6777.87"/>
    <n v="6163.59"/>
    <n v="6379.38"/>
    <n v="7008.75"/>
    <n v="5666.66"/>
    <n v="0"/>
    <n v="0"/>
    <n v="0"/>
    <n v="0"/>
    <n v="0"/>
    <n v="3993.91"/>
    <n v="7407.91"/>
    <n v="6777.87"/>
    <n v="6271.09"/>
    <n v="6379.38"/>
    <n v="7008.75"/>
    <n v="5666.66"/>
    <n v="0"/>
    <n v="0"/>
    <n v="0"/>
    <n v="0"/>
    <n v="0"/>
    <x v="0"/>
    <x v="12"/>
    <x v="12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4. ATENCION DE LA EMERGENCIA DE CUIDADOS INTENSIVOS"/>
    <s v="20. SALUD"/>
    <s v="044. SALUD INDIVIDUAL"/>
    <s v="0097. ATENCION MEDICA ESPECIALIZADA"/>
    <s v="00001"/>
    <s v="0188300. ATENCION DE LA EMERGENCIA DE CUIDADOS INTENSIVOS"/>
    <s v="00006 - ATENCION"/>
    <n v="400"/>
    <n v="200"/>
    <n v="128"/>
    <n v="128"/>
    <x v="2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56612"/>
    <n v="-36000"/>
    <n v="20612"/>
    <n v="11998"/>
    <n v="11998"/>
    <n v="1714"/>
    <n v="1714"/>
    <n v="1714"/>
    <n v="1714"/>
    <n v="1714"/>
    <n v="1714"/>
    <n v="1714"/>
    <n v="0"/>
    <n v="0"/>
    <n v="0"/>
    <n v="0"/>
    <n v="0"/>
    <n v="1714"/>
    <n v="1714"/>
    <n v="1714"/>
    <n v="1714"/>
    <n v="1714"/>
    <n v="1714"/>
    <n v="1714"/>
    <n v="0"/>
    <n v="0"/>
    <n v="0"/>
    <n v="0"/>
    <n v="0"/>
    <n v="1142.49"/>
    <n v="1646.39"/>
    <n v="1733.05"/>
    <n v="1456.68"/>
    <n v="2011.54"/>
    <n v="1990.17"/>
    <n v="1456.5"/>
    <n v="0"/>
    <n v="0"/>
    <n v="0"/>
    <n v="0"/>
    <n v="0"/>
    <n v="1142.49"/>
    <n v="1609.39"/>
    <n v="1733.05"/>
    <n v="1493.68"/>
    <n v="2011.54"/>
    <n v="1990.17"/>
    <n v="1456.5"/>
    <n v="0"/>
    <n v="0"/>
    <n v="0"/>
    <n v="0"/>
    <n v="0"/>
    <x v="0"/>
    <x v="12"/>
    <x v="12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5. ATENCION DE LA EMERGENCIA QUIRURGICA"/>
    <s v="20. SALUD"/>
    <s v="044. SALUD INDIVIDUAL"/>
    <s v="0097. ATENCION MEDICA ESPECIALIZADA"/>
    <s v="00001"/>
    <s v="0188301. ATENCION DE LA EMERGENCIA QUIRURGICA"/>
    <s v="00006 - ATENCION"/>
    <n v="3000"/>
    <n v="1500"/>
    <n v="1405"/>
    <n v="1405"/>
    <x v="3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53654"/>
    <n v="0"/>
    <n v="53654"/>
    <n v="39370"/>
    <n v="39370"/>
    <n v="3634"/>
    <n v="3634"/>
    <n v="3634"/>
    <n v="7196"/>
    <n v="7196"/>
    <n v="7038"/>
    <n v="7038"/>
    <n v="0"/>
    <n v="0"/>
    <n v="0"/>
    <n v="0"/>
    <n v="0"/>
    <n v="3634"/>
    <n v="3634"/>
    <n v="3634"/>
    <n v="7196"/>
    <n v="7196"/>
    <n v="7038"/>
    <n v="7038"/>
    <n v="0"/>
    <n v="0"/>
    <n v="0"/>
    <n v="0"/>
    <n v="0"/>
    <n v="2519.2399999999998"/>
    <n v="3589.74"/>
    <n v="3726.89"/>
    <n v="5842.34"/>
    <n v="7184.18"/>
    <n v="8068.84"/>
    <n v="6305.56"/>
    <n v="0"/>
    <n v="0"/>
    <n v="0"/>
    <n v="0"/>
    <n v="0"/>
    <n v="2519.2399999999998"/>
    <n v="3551.2"/>
    <n v="3726.89"/>
    <n v="5880.88"/>
    <n v="7184.18"/>
    <n v="8068.84"/>
    <n v="6305.56"/>
    <n v="0"/>
    <n v="0"/>
    <n v="0"/>
    <n v="0"/>
    <n v="0"/>
    <x v="0"/>
    <x v="12"/>
    <x v="12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0"/>
    <s v=" ."/>
    <s v="3000688."/>
    <s v="5.ACTIVIDAD"/>
    <s v="5004449. CAPACITACION EN MEDICINA DE REHABILITACION"/>
    <s v="20. SALUD"/>
    <s v="044. SALUD INDIVIDUAL"/>
    <s v="0097. ATENCION MEDICA ESPECIALIZADA"/>
    <s v="00001"/>
    <s v="0136018. CAPACITACION EN MEDICINA DE REHABILITACION"/>
    <s v="00088 - PERSONA CAPACITADA"/>
    <n v="60"/>
    <n v="30"/>
    <n v="0"/>
    <n v="0"/>
    <x v="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1896"/>
    <n v="0"/>
    <n v="1896"/>
    <n v="1106"/>
    <n v="1106"/>
    <n v="158"/>
    <n v="158"/>
    <n v="158"/>
    <n v="158"/>
    <n v="158"/>
    <n v="158"/>
    <n v="158"/>
    <n v="0"/>
    <n v="0"/>
    <n v="0"/>
    <n v="0"/>
    <n v="0"/>
    <n v="158"/>
    <n v="158"/>
    <n v="158"/>
    <n v="158"/>
    <n v="158"/>
    <n v="158"/>
    <n v="158"/>
    <n v="0"/>
    <n v="0"/>
    <n v="0"/>
    <n v="0"/>
    <n v="0"/>
    <n v="142.57"/>
    <n v="158"/>
    <n v="158"/>
    <n v="154"/>
    <n v="162"/>
    <n v="170.43"/>
    <n v="145.57"/>
    <n v="0"/>
    <n v="0"/>
    <n v="0"/>
    <n v="0"/>
    <n v="0"/>
    <n v="142.57"/>
    <n v="154"/>
    <n v="158"/>
    <n v="158"/>
    <n v="162"/>
    <n v="170.43"/>
    <n v="145.57"/>
    <n v="0"/>
    <n v="0"/>
    <n v="0"/>
    <n v="0"/>
    <n v="0"/>
    <x v="0"/>
    <x v="12"/>
    <x v="12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2"/>
    <x v="12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377. MEJORAMIENTO DE LA OFERTA DE LOS SERVICIOS DE SALUD"/>
    <s v="20. SALUD"/>
    <s v="044. SALUD INDIVIDUAL"/>
    <s v="0097. ATENCION MEDICA ESPECIALIZADA"/>
    <s v="00001"/>
    <s v="0006831. MEJORAR LA ATENCION A LA POBLACION"/>
    <s v="00006 - ATENCION"/>
    <n v="2400"/>
    <n v="1200"/>
    <n v="940"/>
    <n v="940"/>
    <x v="3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15010"/>
    <n v="-1738"/>
    <n v="13272"/>
    <n v="7742"/>
    <n v="7742"/>
    <n v="1106"/>
    <n v="1106"/>
    <n v="1106"/>
    <n v="1106"/>
    <n v="1106"/>
    <n v="1106"/>
    <n v="1106"/>
    <n v="0"/>
    <n v="0"/>
    <n v="0"/>
    <n v="0"/>
    <n v="0"/>
    <n v="1106"/>
    <n v="1106"/>
    <n v="1106"/>
    <n v="1106"/>
    <n v="1106"/>
    <n v="1106"/>
    <n v="1106"/>
    <n v="0"/>
    <n v="0"/>
    <n v="0"/>
    <n v="0"/>
    <n v="0"/>
    <n v="844.64"/>
    <n v="1122.33"/>
    <n v="1116.6600000000001"/>
    <n v="1062.67"/>
    <n v="1141.49"/>
    <n v="1195.73"/>
    <n v="1038.1099999999999"/>
    <n v="0"/>
    <n v="0"/>
    <n v="0"/>
    <n v="0"/>
    <n v="0"/>
    <n v="844.64"/>
    <n v="1122.33"/>
    <n v="1116.6600000000001"/>
    <n v="1062.67"/>
    <n v="1141.49"/>
    <n v="1044.73"/>
    <n v="1038.1099999999999"/>
    <n v="0"/>
    <n v="0"/>
    <n v="0"/>
    <n v="0"/>
    <n v="0"/>
    <x v="0"/>
    <x v="12"/>
    <x v="12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00. ATENCION BASICA DE SALUD"/>
    <s v="20. SALUD"/>
    <s v="044. SALUD INDIVIDUAL"/>
    <s v="0096. ATENCION MEDICA BASICA"/>
    <s v="00001"/>
    <s v="0000251. ATENCION BASICA"/>
    <s v="00006 - ATENCION"/>
    <n v="200000"/>
    <n v="100000"/>
    <n v="78000"/>
    <n v="78000"/>
    <x v="3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39288"/>
    <n v="0"/>
    <n v="39288"/>
    <n v="3950"/>
    <n v="3950"/>
    <n v="474"/>
    <n v="474"/>
    <n v="474"/>
    <n v="632"/>
    <n v="632"/>
    <n v="632"/>
    <n v="632"/>
    <n v="0"/>
    <n v="0"/>
    <n v="0"/>
    <n v="0"/>
    <n v="0"/>
    <n v="474"/>
    <n v="474"/>
    <n v="474"/>
    <n v="632"/>
    <n v="632"/>
    <n v="632"/>
    <n v="632"/>
    <n v="0"/>
    <n v="0"/>
    <n v="0"/>
    <n v="0"/>
    <n v="0"/>
    <n v="416.73"/>
    <n v="473.85"/>
    <n v="480.97"/>
    <n v="574.41999999999996"/>
    <n v="634.69000000000005"/>
    <n v="683.7"/>
    <n v="584.26"/>
    <n v="0"/>
    <n v="0"/>
    <n v="0"/>
    <n v="0"/>
    <n v="0"/>
    <n v="416.73"/>
    <n v="471.85"/>
    <n v="480.97"/>
    <n v="576.41999999999996"/>
    <n v="634.69000000000005"/>
    <n v="683.7"/>
    <n v="584.26"/>
    <n v="0"/>
    <n v="0"/>
    <n v="0"/>
    <n v="0"/>
    <n v="0"/>
    <x v="0"/>
    <x v="12"/>
    <x v="12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10. ATENCION ESPECIALIZADA DE LA SALUD"/>
    <s v="20. SALUD"/>
    <s v="044. SALUD INDIVIDUAL"/>
    <s v="0097. ATENCION MEDICA ESPECIALIZADA"/>
    <s v="00001"/>
    <s v="0023484. ATENCION MEDICA ESPECIALIZADA"/>
    <s v="00006 - ATENCION"/>
    <n v="150000"/>
    <n v="75000"/>
    <n v="26347"/>
    <n v="26347"/>
    <x v="34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16740"/>
    <n v="0"/>
    <n v="16740"/>
    <n v="2156"/>
    <n v="2156"/>
    <n v="308"/>
    <n v="308"/>
    <n v="308"/>
    <n v="308"/>
    <n v="308"/>
    <n v="308"/>
    <n v="308"/>
    <n v="0"/>
    <n v="0"/>
    <n v="0"/>
    <n v="0"/>
    <n v="0"/>
    <n v="308"/>
    <n v="308"/>
    <n v="308"/>
    <n v="308"/>
    <n v="308"/>
    <n v="308"/>
    <n v="308"/>
    <n v="0"/>
    <n v="0"/>
    <n v="0"/>
    <n v="0"/>
    <n v="0"/>
    <n v="275.66000000000003"/>
    <n v="307.41000000000003"/>
    <n v="311.39999999999998"/>
    <n v="305.68"/>
    <n v="306.2"/>
    <n v="313.39999999999998"/>
    <n v="303.5"/>
    <n v="0"/>
    <n v="0"/>
    <n v="0"/>
    <n v="0"/>
    <n v="0"/>
    <n v="275.66000000000003"/>
    <n v="304.41000000000003"/>
    <n v="311.39999999999998"/>
    <n v="308.68"/>
    <n v="306.2"/>
    <n v="313.39999999999998"/>
    <n v="303.5"/>
    <n v="0"/>
    <n v="0"/>
    <n v="0"/>
    <n v="0"/>
    <n v="0"/>
    <x v="0"/>
    <x v="12"/>
    <x v="12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2. ATENCION EN CONSULTAS EXTERNAS"/>
    <s v="20. SALUD"/>
    <s v="044. SALUD INDIVIDUAL"/>
    <s v="0097. ATENCION MEDICA ESPECIALIZADA"/>
    <s v="00001"/>
    <s v="0000266. ATENCION EN CONSULTAS EXTERNAS"/>
    <s v="00006 - ATENCION"/>
    <n v="150000"/>
    <n v="75000"/>
    <n v="31583"/>
    <n v="31583"/>
    <x v="35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7260"/>
    <n v="-1572"/>
    <n v="5688"/>
    <n v="3318"/>
    <n v="3318"/>
    <n v="474"/>
    <n v="474"/>
    <n v="474"/>
    <n v="474"/>
    <n v="474"/>
    <n v="474"/>
    <n v="474"/>
    <n v="0"/>
    <n v="0"/>
    <n v="0"/>
    <n v="0"/>
    <n v="0"/>
    <n v="474"/>
    <n v="474"/>
    <n v="474"/>
    <n v="474"/>
    <n v="474"/>
    <n v="474"/>
    <n v="474"/>
    <n v="0"/>
    <n v="0"/>
    <n v="0"/>
    <n v="0"/>
    <n v="0"/>
    <n v="378.43"/>
    <n v="415.93"/>
    <n v="477.43"/>
    <n v="460.32"/>
    <n v="475.56"/>
    <n v="482.96"/>
    <n v="446.1"/>
    <n v="0"/>
    <n v="0"/>
    <n v="0"/>
    <n v="0"/>
    <n v="0"/>
    <n v="378.43"/>
    <n v="415.93"/>
    <n v="477.43"/>
    <n v="460.32"/>
    <n v="475.56"/>
    <n v="482.96"/>
    <n v="446.1"/>
    <n v="0"/>
    <n v="0"/>
    <n v="0"/>
    <n v="0"/>
    <n v="0"/>
    <x v="0"/>
    <x v="12"/>
    <x v="12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33496"/>
    <n v="-3160"/>
    <n v="30336"/>
    <n v="17696"/>
    <n v="17696"/>
    <n v="2528"/>
    <n v="2528"/>
    <n v="2528"/>
    <n v="2528"/>
    <n v="2528"/>
    <n v="2528"/>
    <n v="2528"/>
    <n v="0"/>
    <n v="0"/>
    <n v="0"/>
    <n v="0"/>
    <n v="0"/>
    <n v="2528"/>
    <n v="2528"/>
    <n v="2528"/>
    <n v="2528"/>
    <n v="2528"/>
    <n v="2528"/>
    <n v="2528"/>
    <n v="0"/>
    <n v="0"/>
    <n v="0"/>
    <n v="0"/>
    <n v="0"/>
    <n v="1872.47"/>
    <n v="2458.04"/>
    <n v="2559.6"/>
    <n v="2549.77"/>
    <n v="2550.84"/>
    <n v="2762.32"/>
    <n v="2351.04"/>
    <n v="0"/>
    <n v="0"/>
    <n v="0"/>
    <n v="0"/>
    <n v="0"/>
    <n v="1872.47"/>
    <n v="2458.04"/>
    <n v="2559.6"/>
    <n v="2541.87"/>
    <n v="2550.84"/>
    <n v="2770.22"/>
    <n v="2343.1999999999998"/>
    <n v="0"/>
    <n v="0"/>
    <n v="0"/>
    <n v="0"/>
    <n v="0"/>
    <x v="0"/>
    <x v="12"/>
    <x v="12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4. INTERVENCIONES QUIRURGICAS"/>
    <s v="20. SALUD"/>
    <s v="044. SALUD INDIVIDUAL"/>
    <s v="0097. ATENCION MEDICA ESPECIALIZADA"/>
    <s v="00001"/>
    <s v="0000257. ATENCION DE INTERVENCIONES QUIRURGICAS"/>
    <s v="00006 - ATENCION"/>
    <n v="20000"/>
    <n v="10000"/>
    <n v="8000"/>
    <n v="8000"/>
    <x v="3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23416"/>
    <n v="0"/>
    <n v="23416"/>
    <n v="2212"/>
    <n v="2212"/>
    <n v="316"/>
    <n v="316"/>
    <n v="316"/>
    <n v="316"/>
    <n v="316"/>
    <n v="316"/>
    <n v="316"/>
    <n v="0"/>
    <n v="0"/>
    <n v="0"/>
    <n v="0"/>
    <n v="0"/>
    <n v="316"/>
    <n v="316"/>
    <n v="316"/>
    <n v="316"/>
    <n v="316"/>
    <n v="316"/>
    <n v="316"/>
    <n v="0"/>
    <n v="0"/>
    <n v="0"/>
    <n v="0"/>
    <n v="0"/>
    <n v="281.49"/>
    <n v="315.8"/>
    <n v="317.64999999999998"/>
    <n v="327.31"/>
    <n v="315.10000000000002"/>
    <n v="333.11"/>
    <n v="300.61"/>
    <n v="0"/>
    <n v="0"/>
    <n v="0"/>
    <n v="0"/>
    <n v="0"/>
    <n v="281.49"/>
    <n v="315.8"/>
    <n v="317.64999999999998"/>
    <n v="327.31"/>
    <n v="315.10000000000002"/>
    <n v="333.11"/>
    <n v="300.61"/>
    <n v="0"/>
    <n v="0"/>
    <n v="0"/>
    <n v="0"/>
    <n v="0"/>
    <x v="0"/>
    <x v="12"/>
    <x v="12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8. ATENCION DE CUIDADOS INTENSIVOS"/>
    <s v="20. SALUD"/>
    <s v="044. SALUD INDIVIDUAL"/>
    <s v="0097. ATENCION MEDICA ESPECIALIZADA"/>
    <s v="00001"/>
    <s v="0000268. ATENCION EN CUIDADOS INTENSIVOS"/>
    <s v="00006 - ATENCION"/>
    <n v="20000"/>
    <n v="10000"/>
    <n v="9800"/>
    <n v="9800"/>
    <x v="5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158"/>
    <n v="0"/>
    <n v="1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2"/>
    <x v="12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9. COMERCIALIZACION DE MEDICAMENTOS E INSUMOS"/>
    <s v="20. SALUD"/>
    <s v="044. SALUD INDIVIDUAL"/>
    <s v="0098. SERVICIOS DE DIAGNOSTICO Y TRATAMIENTO"/>
    <s v="00001"/>
    <s v="0001468. VENTA DE MEDICINAS"/>
    <s v="00006 - ATENCION"/>
    <n v="500000"/>
    <n v="250000"/>
    <n v="225000"/>
    <n v="225000"/>
    <x v="3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14220"/>
    <n v="2844"/>
    <n v="17064"/>
    <n v="9954"/>
    <n v="9954"/>
    <n v="1422"/>
    <n v="1422"/>
    <n v="1422"/>
    <n v="1422"/>
    <n v="1422"/>
    <n v="1422"/>
    <n v="1422"/>
    <n v="0"/>
    <n v="0"/>
    <n v="0"/>
    <n v="0"/>
    <n v="0"/>
    <n v="1422"/>
    <n v="1422"/>
    <n v="1422"/>
    <n v="1422"/>
    <n v="1422"/>
    <n v="1422"/>
    <n v="1422"/>
    <n v="0"/>
    <n v="0"/>
    <n v="0"/>
    <n v="0"/>
    <n v="0"/>
    <n v="1122.3599999999999"/>
    <n v="1368.1"/>
    <n v="1435.98"/>
    <n v="1382.69"/>
    <n v="1438.33"/>
    <n v="1539.69"/>
    <n v="1319.81"/>
    <n v="0"/>
    <n v="0"/>
    <n v="0"/>
    <n v="0"/>
    <n v="0"/>
    <n v="1122.3599999999999"/>
    <n v="1368.1"/>
    <n v="1435.98"/>
    <n v="1382.69"/>
    <n v="1438.33"/>
    <n v="1539.69"/>
    <n v="1319.81"/>
    <n v="0"/>
    <n v="0"/>
    <n v="0"/>
    <n v="0"/>
    <n v="0"/>
    <x v="0"/>
    <x v="12"/>
    <x v="12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2197. PRESTACIONES ADMINISTRATIVAS SUBSIDIADAS/NO TARIFADO"/>
    <s v="20. SALUD"/>
    <s v="044. SALUD INDIVIDUAL"/>
    <s v="0097. ATENCION MEDICA ESPECIALIZADA"/>
    <s v="00001"/>
    <s v="0002088. SEGURO INTEGRAL DE SALUD"/>
    <s v="00006 - ATENCION"/>
    <n v="50000"/>
    <n v="25000"/>
    <n v="26500"/>
    <n v="26500"/>
    <x v="4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21778"/>
    <n v="-19000"/>
    <n v="2778"/>
    <n v="1365.94"/>
    <n v="1365.94"/>
    <n v="259.94"/>
    <n v="316"/>
    <n v="158"/>
    <n v="158"/>
    <n v="158"/>
    <n v="158"/>
    <n v="158"/>
    <n v="0"/>
    <n v="0"/>
    <n v="0"/>
    <n v="0"/>
    <n v="0"/>
    <n v="259.94"/>
    <n v="316"/>
    <n v="158"/>
    <n v="158"/>
    <n v="158"/>
    <n v="158"/>
    <n v="158"/>
    <n v="0"/>
    <n v="0"/>
    <n v="0"/>
    <n v="0"/>
    <n v="0"/>
    <n v="226.55"/>
    <n v="312.47000000000003"/>
    <n v="177.6"/>
    <n v="149.5"/>
    <n v="163.5"/>
    <n v="173.76"/>
    <n v="142.58000000000001"/>
    <n v="0"/>
    <n v="0"/>
    <n v="0"/>
    <n v="0"/>
    <n v="0"/>
    <n v="226.55"/>
    <n v="306.02999999999997"/>
    <n v="177.6"/>
    <n v="155.94"/>
    <n v="163.5"/>
    <n v="173.76"/>
    <n v="142.58000000000001"/>
    <n v="0"/>
    <n v="0"/>
    <n v="0"/>
    <n v="0"/>
    <n v="0"/>
    <x v="0"/>
    <x v="12"/>
    <x v="12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87848"/>
    <n v="0"/>
    <n v="87848"/>
    <n v="61625.16"/>
    <n v="61625.16"/>
    <n v="9156"/>
    <n v="8998"/>
    <n v="8743.16"/>
    <n v="8682"/>
    <n v="8682"/>
    <n v="8682"/>
    <n v="8682"/>
    <n v="0"/>
    <n v="0"/>
    <n v="0"/>
    <n v="0"/>
    <n v="0"/>
    <n v="9156"/>
    <n v="8998"/>
    <n v="8743.16"/>
    <n v="8682"/>
    <n v="8682"/>
    <n v="8682"/>
    <n v="8682"/>
    <n v="0"/>
    <n v="0"/>
    <n v="0"/>
    <n v="0"/>
    <n v="0"/>
    <n v="9106.26"/>
    <n v="6857.13"/>
    <n v="8984.86"/>
    <n v="8369.11"/>
    <n v="8797.1200000000008"/>
    <n v="9386.57"/>
    <n v="8122.04"/>
    <n v="0"/>
    <n v="0"/>
    <n v="0"/>
    <n v="0"/>
    <n v="0"/>
    <n v="9106.26"/>
    <n v="6857.13"/>
    <n v="8984.86"/>
    <n v="8368.7900000000009"/>
    <n v="8797.1200000000008"/>
    <n v="9386.57"/>
    <n v="8074.07"/>
    <n v="0"/>
    <n v="0"/>
    <n v="0"/>
    <n v="0"/>
    <n v="0"/>
    <x v="0"/>
    <x v="12"/>
    <x v="12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2. ATENCION DE LA EMERGENCIA Y URGENCIA BASICA"/>
    <s v="20. SALUD"/>
    <s v="044. SALUD INDIVIDUAL"/>
    <s v="0096. ATENCION MEDICA BASICA"/>
    <s v="00001"/>
    <s v="0188298. ATENCION DE LA EMERGENCIA Y URGENCIA BASICA"/>
    <s v="00006 - ATENCION"/>
    <n v="100"/>
    <n v="50"/>
    <n v="1"/>
    <n v="1"/>
    <x v="41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3. OTRAS RETRIBUCIONES Y COMPLEMENTOS"/>
    <s v=" 4. BONIFICACIONES O ENTREGAS  ECONÓMICAS AL PUESTO DE NO PROFESIONALES DE LA SALUD"/>
    <s v="0 . RECURSOS ORDINARIOS"/>
    <n v="0"/>
    <n v="49634"/>
    <n v="496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2"/>
    <x v="12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315."/>
    <s v="5.ACTIVIDAD"/>
    <s v="5000031. BRINDAR ATENCION A OTRAS ENFERMEDADES PREVALENTES"/>
    <s v="20. SALUD"/>
    <s v="044. SALUD INDIVIDUAL"/>
    <s v="0096. ATENCION MEDICA BASICA"/>
    <s v="00001"/>
    <s v="0033315. ATENCION DE OTRAS ENFERMEDADES PREVALENTES"/>
    <s v="00016 - CASO TRATADO"/>
    <n v="440"/>
    <n v="220"/>
    <n v="198"/>
    <n v="198"/>
    <x v="6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600"/>
    <n v="1200"/>
    <n v="1800"/>
    <n v="1800"/>
    <n v="1800"/>
    <n v="0"/>
    <n v="0"/>
    <n v="0"/>
    <n v="0"/>
    <n v="0"/>
    <n v="0"/>
    <n v="1800"/>
    <n v="0"/>
    <n v="0"/>
    <n v="0"/>
    <n v="0"/>
    <n v="0"/>
    <n v="0"/>
    <n v="0"/>
    <n v="0"/>
    <n v="0"/>
    <n v="0"/>
    <n v="0"/>
    <n v="1800"/>
    <n v="0"/>
    <n v="0"/>
    <n v="0"/>
    <n v="0"/>
    <n v="0"/>
    <n v="0"/>
    <n v="0"/>
    <n v="0"/>
    <n v="0"/>
    <n v="0"/>
    <n v="0"/>
    <n v="1800"/>
    <n v="0"/>
    <n v="0"/>
    <n v="0"/>
    <n v="0"/>
    <n v="0"/>
    <n v="0"/>
    <n v="0"/>
    <n v="0"/>
    <n v="0"/>
    <n v="0"/>
    <n v="0"/>
    <n v="1800"/>
    <n v="0"/>
    <n v="0"/>
    <n v="0"/>
    <n v="0"/>
    <n v="0"/>
    <x v="0"/>
    <x v="13"/>
    <x v="13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00001."/>
    <s v="5.ACTIVIDAD"/>
    <s v="5004389. DESARROLLO DE NORMAS Y GUIAS TECNICAS EN SALUD MATERNO NEONATAL"/>
    <s v="20. SALUD"/>
    <s v="043. SALUD COLECTIVA"/>
    <s v="0093. REGULACION Y CONTROL SANITARIO"/>
    <s v="00001"/>
    <s v="0033287. DESARROLLO DE NORMAS Y GUIAS TECNICAS EN SALUD MATERNO NEONATAL"/>
    <s v="00080 - NORMA"/>
    <n v="2"/>
    <n v="1"/>
    <n v="0"/>
    <n v="0"/>
    <x v="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600"/>
    <n v="-6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3"/>
    <x v="13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00005."/>
    <s v="5.ACTIVIDAD"/>
    <s v="5000058. BRINDAR SERVICIOS DE SALUD PARA PREVENCION DEL EMBARAZO A ADOLESCENTES"/>
    <s v="20. SALUD"/>
    <s v="044. SALUD INDIVIDUAL"/>
    <s v="0096. ATENCION MEDICA BASICA"/>
    <s v="00001"/>
    <s v="0053220. ADOLESCENTES ACCEDEN A SERVICIOS DE SALUD PARA PREVENCION DEL EMBARAZO"/>
    <s v="00150 - ADOLESCENTE"/>
    <n v="200"/>
    <n v="100"/>
    <n v="0"/>
    <n v="0"/>
    <x v="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1200"/>
    <n v="0"/>
    <n v="1200"/>
    <n v="300"/>
    <n v="30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x v="0"/>
    <x v="13"/>
    <x v="13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172."/>
    <s v="5.ACTIVIDAD"/>
    <s v="5000037. BRINDAR ATENCION PRENATAL REENFOCADA"/>
    <s v="20. SALUD"/>
    <s v="044. SALUD INDIVIDUAL"/>
    <s v="0096. ATENCION MEDICA BASICA"/>
    <s v="00001"/>
    <s v="0033172. ATENCION PRENATAL REENFOCADA"/>
    <s v="00058 - GESTANTE CONTROLADA"/>
    <n v="3140"/>
    <n v="1570"/>
    <n v="1605"/>
    <n v="1605"/>
    <x v="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1200"/>
    <n v="3600"/>
    <n v="4800"/>
    <n v="4800"/>
    <n v="4800"/>
    <n v="0"/>
    <n v="0"/>
    <n v="0"/>
    <n v="0"/>
    <n v="0"/>
    <n v="0"/>
    <n v="4800"/>
    <n v="0"/>
    <n v="0"/>
    <n v="0"/>
    <n v="0"/>
    <n v="0"/>
    <n v="0"/>
    <n v="0"/>
    <n v="0"/>
    <n v="0"/>
    <n v="0"/>
    <n v="0"/>
    <n v="4800"/>
    <n v="0"/>
    <n v="0"/>
    <n v="0"/>
    <n v="0"/>
    <n v="0"/>
    <n v="0"/>
    <n v="0"/>
    <n v="0"/>
    <n v="0"/>
    <n v="0"/>
    <n v="0"/>
    <n v="4800"/>
    <n v="0"/>
    <n v="0"/>
    <n v="0"/>
    <n v="0"/>
    <n v="0"/>
    <n v="0"/>
    <n v="0"/>
    <n v="0"/>
    <n v="0"/>
    <n v="0"/>
    <n v="0"/>
    <n v="4800"/>
    <n v="0"/>
    <n v="0"/>
    <n v="0"/>
    <n v="0"/>
    <n v="0"/>
    <x v="0"/>
    <x v="13"/>
    <x v="13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1."/>
    <s v="5.ACTIVIDAD"/>
    <s v="5000042. MEJORAMIENTO DEL ACCESO DE LA POBLACION A METODOS DE PLANIFICACION FAMILIAR"/>
    <s v="20. SALUD"/>
    <s v="044. SALUD INDIVIDUAL"/>
    <s v="0096. ATENCION MEDICA BASICA"/>
    <s v="00001"/>
    <s v="0033291. POBLACION ACCEDE A METODOS DE PLANIFICACION FAMILIAR"/>
    <s v="00206 - PAREJA PROTEGIDA"/>
    <n v="2838"/>
    <n v="1419"/>
    <n v="909"/>
    <n v="909"/>
    <x v="44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1200"/>
    <n v="0"/>
    <n v="1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3"/>
    <x v="13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4."/>
    <s v="5.ACTIVIDAD"/>
    <s v="5000044. BRINDAR ATENCION A LA GESTANTE CON COMPLICACIONES"/>
    <s v="20. SALUD"/>
    <s v="044. SALUD INDIVIDUAL"/>
    <s v="0097. ATENCION MEDICA ESPECIALIZADA"/>
    <s v="00001"/>
    <s v="0033294. ATENCION DE LA GESTANTE CON COMPLICACIONES"/>
    <s v="00016 - CASO TRATADO"/>
    <n v="4100"/>
    <n v="2050"/>
    <n v="1830"/>
    <n v="1830"/>
    <x v="1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16200"/>
    <n v="0"/>
    <n v="16200"/>
    <n v="4200"/>
    <n v="4200"/>
    <n v="0"/>
    <n v="0"/>
    <n v="0"/>
    <n v="0"/>
    <n v="0"/>
    <n v="0"/>
    <n v="4200"/>
    <n v="0"/>
    <n v="0"/>
    <n v="0"/>
    <n v="0"/>
    <n v="0"/>
    <n v="0"/>
    <n v="0"/>
    <n v="0"/>
    <n v="0"/>
    <n v="0"/>
    <n v="0"/>
    <n v="4200"/>
    <n v="0"/>
    <n v="0"/>
    <n v="0"/>
    <n v="0"/>
    <n v="0"/>
    <n v="0"/>
    <n v="0"/>
    <n v="0"/>
    <n v="0"/>
    <n v="0"/>
    <n v="0"/>
    <n v="4200"/>
    <n v="0"/>
    <n v="0"/>
    <n v="0"/>
    <n v="0"/>
    <n v="0"/>
    <n v="0"/>
    <n v="0"/>
    <n v="0"/>
    <n v="0"/>
    <n v="0"/>
    <n v="0"/>
    <n v="4200"/>
    <n v="0"/>
    <n v="0"/>
    <n v="0"/>
    <n v="0"/>
    <n v="0"/>
    <x v="0"/>
    <x v="13"/>
    <x v="13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5."/>
    <s v="5.ACTIVIDAD"/>
    <s v="5000045. BRINDAR ATENCION DE PARTO NORMAL"/>
    <s v="20. SALUD"/>
    <s v="044. SALUD INDIVIDUAL"/>
    <s v="0096. ATENCION MEDICA BASICA"/>
    <s v="00001"/>
    <s v="0033295. ATENCION DEL PARTO NORMAL"/>
    <s v="00208 - PARTO NORMAL"/>
    <n v="1400"/>
    <n v="700"/>
    <n v="447"/>
    <n v="447"/>
    <x v="11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3000"/>
    <n v="300"/>
    <n v="3300"/>
    <n v="3300"/>
    <n v="3300"/>
    <n v="0"/>
    <n v="0"/>
    <n v="0"/>
    <n v="0"/>
    <n v="0"/>
    <n v="0"/>
    <n v="3300"/>
    <n v="0"/>
    <n v="0"/>
    <n v="0"/>
    <n v="0"/>
    <n v="0"/>
    <n v="0"/>
    <n v="0"/>
    <n v="0"/>
    <n v="0"/>
    <n v="0"/>
    <n v="0"/>
    <n v="3300"/>
    <n v="0"/>
    <n v="0"/>
    <n v="0"/>
    <n v="0"/>
    <n v="0"/>
    <n v="0"/>
    <n v="0"/>
    <n v="0"/>
    <n v="0"/>
    <n v="0"/>
    <n v="0"/>
    <n v="3300"/>
    <n v="0"/>
    <n v="0"/>
    <n v="0"/>
    <n v="0"/>
    <n v="0"/>
    <n v="0"/>
    <n v="0"/>
    <n v="0"/>
    <n v="0"/>
    <n v="0"/>
    <n v="0"/>
    <n v="3300"/>
    <n v="0"/>
    <n v="0"/>
    <n v="0"/>
    <n v="0"/>
    <n v="0"/>
    <x v="0"/>
    <x v="13"/>
    <x v="13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6."/>
    <s v="5.ACTIVIDAD"/>
    <s v="5000046. BRINDAR ATENCION DEL PARTO COMPLICADO NO QUIRURGICO"/>
    <s v="20. SALUD"/>
    <s v="044. SALUD INDIVIDUAL"/>
    <s v="0097. ATENCION MEDICA ESPECIALIZADA"/>
    <s v="00001"/>
    <s v="0033296. ATENCION DEL PARTO COMPLICADO NO QUIRURGICO"/>
    <s v="00209 - PARTO COMPLICADO"/>
    <n v="1420"/>
    <n v="710"/>
    <n v="443"/>
    <n v="443"/>
    <x v="1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4800"/>
    <n v="0"/>
    <n v="4800"/>
    <n v="300"/>
    <n v="30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x v="0"/>
    <x v="13"/>
    <x v="13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7."/>
    <s v="5.ACTIVIDAD"/>
    <s v="5000047. BRINDAR ATENCION DEL PARTO COMPLICADO QUIRURGICO"/>
    <s v="20. SALUD"/>
    <s v="044. SALUD INDIVIDUAL"/>
    <s v="0097. ATENCION MEDICA ESPECIALIZADA"/>
    <s v="00001"/>
    <s v="0033297. ATENCION DEL PARTO COMPLICADO QUIRURGICO"/>
    <s v="00210 - CESAREA"/>
    <n v="1550"/>
    <n v="775"/>
    <n v="747"/>
    <n v="747"/>
    <x v="1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4800"/>
    <n v="8700"/>
    <n v="13500"/>
    <n v="13500"/>
    <n v="13500"/>
    <n v="0"/>
    <n v="0"/>
    <n v="0"/>
    <n v="0"/>
    <n v="0"/>
    <n v="0"/>
    <n v="13500"/>
    <n v="0"/>
    <n v="0"/>
    <n v="0"/>
    <n v="0"/>
    <n v="0"/>
    <n v="0"/>
    <n v="0"/>
    <n v="0"/>
    <n v="0"/>
    <n v="0"/>
    <n v="0"/>
    <n v="13500"/>
    <n v="0"/>
    <n v="0"/>
    <n v="0"/>
    <n v="0"/>
    <n v="0"/>
    <n v="0"/>
    <n v="0"/>
    <n v="0"/>
    <n v="0"/>
    <n v="0"/>
    <n v="0"/>
    <n v="13437.04"/>
    <n v="0"/>
    <n v="0"/>
    <n v="0"/>
    <n v="0"/>
    <n v="0"/>
    <n v="0"/>
    <n v="0"/>
    <n v="0"/>
    <n v="0"/>
    <n v="0"/>
    <n v="0"/>
    <n v="13137.04"/>
    <n v="0"/>
    <n v="0"/>
    <n v="0"/>
    <n v="0"/>
    <n v="0"/>
    <x v="0"/>
    <x v="13"/>
    <x v="13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8."/>
    <s v="5.ACTIVIDAD"/>
    <s v="5000048. ATENDER EL PUERPERIO"/>
    <s v="20. SALUD"/>
    <s v="044. SALUD INDIVIDUAL"/>
    <s v="0096. ATENCION MEDICA BASICA"/>
    <s v="00001"/>
    <s v="0033298. ATENCION DEL PUERPERIO"/>
    <s v="00628 - DELITO ATENDIDO"/>
    <n v="150"/>
    <n v="75"/>
    <n v="15"/>
    <n v="15"/>
    <x v="14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4800"/>
    <n v="0"/>
    <n v="48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3"/>
    <x v="13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9."/>
    <s v="5.ACTIVIDAD"/>
    <s v="5000049. ATENDER EL PUERPERIO CON COMPLICACIONES"/>
    <s v="20. SALUD"/>
    <s v="044. SALUD INDIVIDUAL"/>
    <s v="0097. ATENCION MEDICA ESPECIALIZADA"/>
    <s v="00001"/>
    <s v="0033299. ATENCION DEL PUERPERIO CON COMPLICACIONES"/>
    <s v="00016 - CASO TRATADO"/>
    <n v="240"/>
    <n v="120"/>
    <n v="94"/>
    <n v="94"/>
    <x v="15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0"/>
    <n v="1200"/>
    <n v="1200"/>
    <n v="1200"/>
    <n v="1200"/>
    <n v="0"/>
    <n v="0"/>
    <n v="0"/>
    <n v="0"/>
    <n v="0"/>
    <n v="0"/>
    <n v="1200"/>
    <n v="0"/>
    <n v="0"/>
    <n v="0"/>
    <n v="0"/>
    <n v="0"/>
    <n v="0"/>
    <n v="0"/>
    <n v="0"/>
    <n v="0"/>
    <n v="0"/>
    <n v="0"/>
    <n v="1200"/>
    <n v="0"/>
    <n v="0"/>
    <n v="0"/>
    <n v="0"/>
    <n v="0"/>
    <n v="0"/>
    <n v="0"/>
    <n v="0"/>
    <n v="0"/>
    <n v="0"/>
    <n v="0"/>
    <n v="1200"/>
    <n v="0"/>
    <n v="0"/>
    <n v="0"/>
    <n v="0"/>
    <n v="0"/>
    <n v="0"/>
    <n v="0"/>
    <n v="0"/>
    <n v="0"/>
    <n v="0"/>
    <n v="0"/>
    <n v="1200"/>
    <n v="0"/>
    <n v="0"/>
    <n v="0"/>
    <n v="0"/>
    <n v="0"/>
    <x v="0"/>
    <x v="13"/>
    <x v="13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0."/>
    <s v="5.ACTIVIDAD"/>
    <s v="5000050. ATENDER COMPLICACIONES OBSTETRICAS EN UNIDAD DE CUIDADOS INTENSIVOS"/>
    <s v="20. SALUD"/>
    <s v="044. SALUD INDIVIDUAL"/>
    <s v="0097. ATENCION MEDICA ESPECIALIZADA"/>
    <s v="00001"/>
    <s v="0033300. ATENCION OBSTETRICA EN UNIDAD DE CUIDADOS INTENSIVOS"/>
    <s v="00016 - CASO TRATADO"/>
    <n v="68"/>
    <n v="34"/>
    <n v="16"/>
    <n v="16"/>
    <x v="16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6000"/>
    <n v="0"/>
    <n v="6000"/>
    <n v="5100"/>
    <n v="5100"/>
    <n v="0"/>
    <n v="0"/>
    <n v="0"/>
    <n v="0"/>
    <n v="0"/>
    <n v="0"/>
    <n v="5100"/>
    <n v="0"/>
    <n v="0"/>
    <n v="0"/>
    <n v="0"/>
    <n v="0"/>
    <n v="0"/>
    <n v="0"/>
    <n v="0"/>
    <n v="0"/>
    <n v="0"/>
    <n v="0"/>
    <n v="5100"/>
    <n v="0"/>
    <n v="0"/>
    <n v="0"/>
    <n v="0"/>
    <n v="0"/>
    <n v="0"/>
    <n v="0"/>
    <n v="0"/>
    <n v="0"/>
    <n v="0"/>
    <n v="0"/>
    <n v="5100"/>
    <n v="0"/>
    <n v="0"/>
    <n v="0"/>
    <n v="0"/>
    <n v="0"/>
    <n v="0"/>
    <n v="0"/>
    <n v="0"/>
    <n v="0"/>
    <n v="0"/>
    <n v="0"/>
    <n v="5100"/>
    <n v="0"/>
    <n v="0"/>
    <n v="0"/>
    <n v="0"/>
    <n v="0"/>
    <x v="0"/>
    <x v="13"/>
    <x v="13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5."/>
    <s v="5.ACTIVIDAD"/>
    <s v="5000053. ATENDER AL RECIEN NACIDO NORMAL"/>
    <s v="20. SALUD"/>
    <s v="044. SALUD INDIVIDUAL"/>
    <s v="0096. ATENCION MEDICA BASICA"/>
    <s v="00001"/>
    <s v="0033305. ATENCION DEL RECIEN NACIDO NORMAL"/>
    <s v="00239 - RECIEN NACIDO ATENDIDO"/>
    <n v="7546"/>
    <n v="3773"/>
    <n v="2820"/>
    <n v="2820"/>
    <x v="1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7800"/>
    <n v="0"/>
    <n v="7800"/>
    <n v="6300"/>
    <n v="6300"/>
    <n v="0"/>
    <n v="0"/>
    <n v="0"/>
    <n v="0"/>
    <n v="0"/>
    <n v="0"/>
    <n v="6300"/>
    <n v="0"/>
    <n v="0"/>
    <n v="0"/>
    <n v="0"/>
    <n v="0"/>
    <n v="0"/>
    <n v="0"/>
    <n v="0"/>
    <n v="0"/>
    <n v="0"/>
    <n v="0"/>
    <n v="6300"/>
    <n v="0"/>
    <n v="0"/>
    <n v="0"/>
    <n v="0"/>
    <n v="0"/>
    <n v="0"/>
    <n v="0"/>
    <n v="0"/>
    <n v="0"/>
    <n v="0"/>
    <n v="0"/>
    <n v="6300"/>
    <n v="0"/>
    <n v="0"/>
    <n v="0"/>
    <n v="0"/>
    <n v="0"/>
    <n v="0"/>
    <n v="0"/>
    <n v="0"/>
    <n v="0"/>
    <n v="0"/>
    <n v="0"/>
    <n v="6000"/>
    <n v="0"/>
    <n v="0"/>
    <n v="0"/>
    <n v="0"/>
    <n v="0"/>
    <x v="0"/>
    <x v="13"/>
    <x v="13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6."/>
    <s v="5.ACTIVIDAD"/>
    <s v="5000054. ATENDER AL RECIEN NACIDO CON COMPLICACIONES"/>
    <s v="20. SALUD"/>
    <s v="044. SALUD INDIVIDUAL"/>
    <s v="0097. ATENCION MEDICA ESPECIALIZADA"/>
    <s v="00001"/>
    <s v="0033306. ATENCION DEL RECIEN NACIDO CON COMPLICACIONES"/>
    <s v="00016 - CASO TRATADO"/>
    <n v="2469"/>
    <n v="1234"/>
    <n v="728"/>
    <n v="728"/>
    <x v="1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0"/>
    <n v="4800"/>
    <n v="4800"/>
    <n v="4800"/>
    <n v="4800"/>
    <n v="0"/>
    <n v="0"/>
    <n v="0"/>
    <n v="0"/>
    <n v="0"/>
    <n v="0"/>
    <n v="4800"/>
    <n v="0"/>
    <n v="0"/>
    <n v="0"/>
    <n v="0"/>
    <n v="0"/>
    <n v="0"/>
    <n v="0"/>
    <n v="0"/>
    <n v="0"/>
    <n v="0"/>
    <n v="0"/>
    <n v="4800"/>
    <n v="0"/>
    <n v="0"/>
    <n v="0"/>
    <n v="0"/>
    <n v="0"/>
    <n v="0"/>
    <n v="0"/>
    <n v="0"/>
    <n v="0"/>
    <n v="0"/>
    <n v="0"/>
    <n v="4800"/>
    <n v="0"/>
    <n v="0"/>
    <n v="0"/>
    <n v="0"/>
    <n v="0"/>
    <n v="0"/>
    <n v="0"/>
    <n v="0"/>
    <n v="0"/>
    <n v="0"/>
    <n v="0"/>
    <n v="4800"/>
    <n v="0"/>
    <n v="0"/>
    <n v="0"/>
    <n v="0"/>
    <n v="0"/>
    <x v="0"/>
    <x v="13"/>
    <x v="13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7."/>
    <s v="5.ACTIVIDAD"/>
    <s v="5000055. ATENDER AL RECIEN NACIDO CON COMPLICACIONES QUE REQUIERE UNIDAD DE CUIDADOS INTENSIVOS NEONATALES - UCIN"/>
    <s v="20. SALUD"/>
    <s v="044. SALUD INDIVIDUAL"/>
    <s v="0097. ATENCION MEDICA ESPECIALIZADA"/>
    <s v="00001"/>
    <s v="0033307. ATENCION DEL RECIEN NACIDO CON COMPLICACIONES QUE REQUIERE UNIDAD DE CUIDADOS INTENSIVOS NEONATALES - UCIN"/>
    <s v="00016 - CASO TRATADO"/>
    <n v="1148"/>
    <n v="574"/>
    <n v="436"/>
    <n v="436"/>
    <x v="1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0"/>
    <n v="3000"/>
    <n v="3000"/>
    <n v="3000"/>
    <n v="3000"/>
    <n v="0"/>
    <n v="0"/>
    <n v="0"/>
    <n v="0"/>
    <n v="0"/>
    <n v="0"/>
    <n v="3000"/>
    <n v="0"/>
    <n v="0"/>
    <n v="0"/>
    <n v="0"/>
    <n v="0"/>
    <n v="0"/>
    <n v="0"/>
    <n v="0"/>
    <n v="0"/>
    <n v="0"/>
    <n v="0"/>
    <n v="3000"/>
    <n v="0"/>
    <n v="0"/>
    <n v="0"/>
    <n v="0"/>
    <n v="0"/>
    <n v="0"/>
    <n v="0"/>
    <n v="0"/>
    <n v="0"/>
    <n v="0"/>
    <n v="0"/>
    <n v="3000"/>
    <n v="0"/>
    <n v="0"/>
    <n v="0"/>
    <n v="0"/>
    <n v="0"/>
    <n v="0"/>
    <n v="0"/>
    <n v="0"/>
    <n v="0"/>
    <n v="0"/>
    <n v="0"/>
    <n v="3000"/>
    <n v="0"/>
    <n v="0"/>
    <n v="0"/>
    <n v="0"/>
    <n v="0"/>
    <x v="0"/>
    <x v="13"/>
    <x v="13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14."/>
    <s v="5.ACTIVIDAD"/>
    <s v="5004438. DIAGNOSTICO DE CASOS DE TUBERCULOSIS"/>
    <s v="20. SALUD"/>
    <s v="044. SALUD INDIVIDUAL"/>
    <s v="0096. ATENCION MEDICA BASICA"/>
    <s v="00001"/>
    <s v="0043964. DIAGNOSTICO DE CASOS DE TUBERCULOSIS"/>
    <s v="00393 - TASA"/>
    <n v="140"/>
    <n v="70"/>
    <n v="48"/>
    <n v="48"/>
    <x v="2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0"/>
    <n v="600"/>
    <n v="600"/>
    <n v="600"/>
    <n v="60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x v="0"/>
    <x v="13"/>
    <x v="13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2."/>
    <s v="5.ACTIVIDAD"/>
    <s v="5000110. BRINDAR TRATAMIENTO A PACIENTES CON DIAGNOSTICO DE CATARATAS"/>
    <s v="20. SALUD"/>
    <s v="044. SALUD INDIVIDUAL"/>
    <s v="0097. ATENCION MEDICA ESPECIALIZADA"/>
    <s v="00001"/>
    <s v="0135994. BRINDAR TRATAMIENTO A PACIENTES CON DIAGNOSTICO DE CATARATAS"/>
    <s v="00394 - TECNICO"/>
    <n v="648"/>
    <n v="324"/>
    <n v="141"/>
    <n v="141"/>
    <x v="2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1200"/>
    <n v="0"/>
    <n v="1200"/>
    <n v="600"/>
    <n v="60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x v="0"/>
    <x v="13"/>
    <x v="13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6."/>
    <s v="5.ACTIVIDAD"/>
    <s v="5000114. BRINDAR TRATAMIENTO A PERSONAS CON DIAGNOSTICO DE HIPERTENSION ARTERIAL"/>
    <s v="20. SALUD"/>
    <s v="044. SALUD INDIVIDUAL"/>
    <s v="0097. ATENCION MEDICA ESPECIALIZADA"/>
    <s v="00001"/>
    <s v="0135998. BRINDAR TRATAMIENTO A PERSONAS CON DIAGNOSTICO DE HIPERTENSION ARTERIAL"/>
    <s v="00394 - TECNICO"/>
    <n v="771"/>
    <n v="385"/>
    <n v="382"/>
    <n v="382"/>
    <x v="2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600"/>
    <n v="0"/>
    <n v="600"/>
    <n v="600"/>
    <n v="60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x v="0"/>
    <x v="13"/>
    <x v="13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2824. ATENCION AMBULATORIA DE URGENCIAS (PRIORIDAD III O IV) EN MODULOS HOSPITALARIOS DIFERENCIADOS AUTORIZADOS"/>
    <s v="20. SALUD"/>
    <s v="044. SALUD INDIVIDUAL"/>
    <s v="0096. ATENCION MEDICA BASICA"/>
    <s v="00001"/>
    <s v="0076144. ATENCION AMBULATORIA DE URGENCIAS (PRIORIDAD III O IV) EN MODULOS HOSPITALARIOS DIFERENCIADOS AUTORIZADOS"/>
    <s v="00006 - ATENCION"/>
    <n v="2000"/>
    <n v="1000"/>
    <n v="1994"/>
    <n v="1994"/>
    <x v="2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18600"/>
    <n v="0"/>
    <n v="18600"/>
    <n v="3000"/>
    <n v="3000"/>
    <n v="0"/>
    <n v="0"/>
    <n v="0"/>
    <n v="0"/>
    <n v="0"/>
    <n v="0"/>
    <n v="3000"/>
    <n v="0"/>
    <n v="0"/>
    <n v="0"/>
    <n v="0"/>
    <n v="0"/>
    <n v="0"/>
    <n v="0"/>
    <n v="0"/>
    <n v="0"/>
    <n v="0"/>
    <n v="0"/>
    <n v="3000"/>
    <n v="0"/>
    <n v="0"/>
    <n v="0"/>
    <n v="0"/>
    <n v="0"/>
    <n v="0"/>
    <n v="0"/>
    <n v="0"/>
    <n v="0"/>
    <n v="0"/>
    <n v="0"/>
    <n v="3000"/>
    <n v="0"/>
    <n v="0"/>
    <n v="0"/>
    <n v="0"/>
    <n v="0"/>
    <n v="0"/>
    <n v="0"/>
    <n v="0"/>
    <n v="0"/>
    <n v="0"/>
    <n v="0"/>
    <n v="3000"/>
    <n v="0"/>
    <n v="0"/>
    <n v="0"/>
    <n v="0"/>
    <n v="0"/>
    <x v="0"/>
    <x v="13"/>
    <x v="13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3. ATENCION DE LA EMERGENCIA Y URGENCIA ESPECIALIZADA"/>
    <s v="20. SALUD"/>
    <s v="044. SALUD INDIVIDUAL"/>
    <s v="0097. ATENCION MEDICA ESPECIALIZADA"/>
    <s v="00001"/>
    <s v="0188299. ATENCION DE LA EMERGENCIA Y URGENCIA ESPECIALIZADA"/>
    <s v="00006 - ATENCION"/>
    <n v="25000"/>
    <n v="12500"/>
    <n v="7470"/>
    <n v="7470"/>
    <x v="2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6600"/>
    <n v="25624"/>
    <n v="32224"/>
    <n v="32200"/>
    <n v="32200"/>
    <n v="0"/>
    <n v="0"/>
    <n v="0"/>
    <n v="0"/>
    <n v="0"/>
    <n v="0"/>
    <n v="32200"/>
    <n v="0"/>
    <n v="0"/>
    <n v="0"/>
    <n v="0"/>
    <n v="0"/>
    <n v="0"/>
    <n v="0"/>
    <n v="0"/>
    <n v="0"/>
    <n v="0"/>
    <n v="0"/>
    <n v="32200"/>
    <n v="0"/>
    <n v="0"/>
    <n v="0"/>
    <n v="0"/>
    <n v="0"/>
    <n v="0"/>
    <n v="0"/>
    <n v="0"/>
    <n v="0"/>
    <n v="0"/>
    <n v="0"/>
    <n v="32200"/>
    <n v="0"/>
    <n v="0"/>
    <n v="0"/>
    <n v="0"/>
    <n v="0"/>
    <n v="0"/>
    <n v="0"/>
    <n v="0"/>
    <n v="0"/>
    <n v="0"/>
    <n v="0"/>
    <n v="31791.64"/>
    <n v="0"/>
    <n v="0"/>
    <n v="0"/>
    <n v="0"/>
    <n v="0"/>
    <x v="0"/>
    <x v="13"/>
    <x v="13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4. ATENCION DE LA EMERGENCIA DE CUIDADOS INTENSIVOS"/>
    <s v="20. SALUD"/>
    <s v="044. SALUD INDIVIDUAL"/>
    <s v="0097. ATENCION MEDICA ESPECIALIZADA"/>
    <s v="00001"/>
    <s v="0188300. ATENCION DE LA EMERGENCIA DE CUIDADOS INTENSIVOS"/>
    <s v="00006 - ATENCION"/>
    <n v="400"/>
    <n v="200"/>
    <n v="128"/>
    <n v="128"/>
    <x v="2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9600"/>
    <n v="0"/>
    <n v="9600"/>
    <n v="8500"/>
    <n v="8500"/>
    <n v="0"/>
    <n v="0"/>
    <n v="0"/>
    <n v="0"/>
    <n v="0"/>
    <n v="0"/>
    <n v="8500"/>
    <n v="0"/>
    <n v="0"/>
    <n v="0"/>
    <n v="0"/>
    <n v="0"/>
    <n v="0"/>
    <n v="0"/>
    <n v="0"/>
    <n v="0"/>
    <n v="0"/>
    <n v="0"/>
    <n v="8500"/>
    <n v="0"/>
    <n v="0"/>
    <n v="0"/>
    <n v="0"/>
    <n v="0"/>
    <n v="0"/>
    <n v="0"/>
    <n v="0"/>
    <n v="0"/>
    <n v="0"/>
    <n v="0"/>
    <n v="8500"/>
    <n v="0"/>
    <n v="0"/>
    <n v="0"/>
    <n v="0"/>
    <n v="0"/>
    <n v="0"/>
    <n v="0"/>
    <n v="0"/>
    <n v="0"/>
    <n v="0"/>
    <n v="0"/>
    <n v="8100"/>
    <n v="0"/>
    <n v="0"/>
    <n v="0"/>
    <n v="0"/>
    <n v="0"/>
    <x v="0"/>
    <x v="13"/>
    <x v="13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5. ATENCION DE LA EMERGENCIA QUIRURGICA"/>
    <s v="20. SALUD"/>
    <s v="044. SALUD INDIVIDUAL"/>
    <s v="0097. ATENCION MEDICA ESPECIALIZADA"/>
    <s v="00001"/>
    <s v="0188301. ATENCION DE LA EMERGENCIA QUIRURGICA"/>
    <s v="00006 - ATENCION"/>
    <n v="3000"/>
    <n v="1500"/>
    <n v="1405"/>
    <n v="1405"/>
    <x v="3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19800"/>
    <n v="2700"/>
    <n v="22500"/>
    <n v="22500"/>
    <n v="22500"/>
    <n v="0"/>
    <n v="0"/>
    <n v="0"/>
    <n v="0"/>
    <n v="0"/>
    <n v="0"/>
    <n v="22500"/>
    <n v="0"/>
    <n v="0"/>
    <n v="0"/>
    <n v="0"/>
    <n v="0"/>
    <n v="0"/>
    <n v="0"/>
    <n v="0"/>
    <n v="0"/>
    <n v="0"/>
    <n v="0"/>
    <n v="22500"/>
    <n v="0"/>
    <n v="0"/>
    <n v="0"/>
    <n v="0"/>
    <n v="0"/>
    <n v="0"/>
    <n v="0"/>
    <n v="0"/>
    <n v="0"/>
    <n v="0"/>
    <n v="0"/>
    <n v="22447.34"/>
    <n v="0"/>
    <n v="0"/>
    <n v="0"/>
    <n v="0"/>
    <n v="0"/>
    <n v="0"/>
    <n v="0"/>
    <n v="0"/>
    <n v="0"/>
    <n v="0"/>
    <n v="0"/>
    <n v="22343.599999999999"/>
    <n v="0"/>
    <n v="0"/>
    <n v="0"/>
    <n v="0"/>
    <n v="0"/>
    <x v="0"/>
    <x v="13"/>
    <x v="13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0"/>
    <s v=" ."/>
    <s v="3000688."/>
    <s v="5.ACTIVIDAD"/>
    <s v="5004449. CAPACITACION EN MEDICINA DE REHABILITACION"/>
    <s v="20. SALUD"/>
    <s v="044. SALUD INDIVIDUAL"/>
    <s v="0097. ATENCION MEDICA ESPECIALIZADA"/>
    <s v="00001"/>
    <s v="0136018. CAPACITACION EN MEDICINA DE REHABILITACION"/>
    <s v="00088 - PERSONA CAPACITADA"/>
    <n v="60"/>
    <n v="30"/>
    <n v="0"/>
    <n v="0"/>
    <x v="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1800"/>
    <n v="0"/>
    <n v="1800"/>
    <n v="1200"/>
    <n v="1200"/>
    <n v="0"/>
    <n v="0"/>
    <n v="0"/>
    <n v="0"/>
    <n v="0"/>
    <n v="0"/>
    <n v="1200"/>
    <n v="0"/>
    <n v="0"/>
    <n v="0"/>
    <n v="0"/>
    <n v="0"/>
    <n v="0"/>
    <n v="0"/>
    <n v="0"/>
    <n v="0"/>
    <n v="0"/>
    <n v="0"/>
    <n v="1200"/>
    <n v="0"/>
    <n v="0"/>
    <n v="0"/>
    <n v="0"/>
    <n v="0"/>
    <n v="0"/>
    <n v="0"/>
    <n v="0"/>
    <n v="0"/>
    <n v="0"/>
    <n v="0"/>
    <n v="1200"/>
    <n v="0"/>
    <n v="0"/>
    <n v="0"/>
    <n v="0"/>
    <n v="0"/>
    <n v="0"/>
    <n v="0"/>
    <n v="0"/>
    <n v="0"/>
    <n v="0"/>
    <n v="0"/>
    <n v="1200"/>
    <n v="0"/>
    <n v="0"/>
    <n v="0"/>
    <n v="0"/>
    <n v="0"/>
    <x v="0"/>
    <x v="13"/>
    <x v="13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698."/>
    <s v="5.ACTIVIDAD"/>
    <s v="5005188. TAMIZAJE DE PERSONAS CON TRASTORNOS MENTALES Y PROBLEMAS PSICOSOCIALES"/>
    <s v="20. SALUD"/>
    <s v="044. SALUD INDIVIDUAL"/>
    <s v="0096. ATENCION MEDICA BASICA"/>
    <s v="00001"/>
    <s v="0136780. TAMIZAJE DE PERSONAS CON TRASTORNOS MENTALES Y PROBLEMAS PSICOSOCIALES"/>
    <s v="00438 - PULGADAS"/>
    <n v="310"/>
    <n v="155"/>
    <n v="273"/>
    <n v="273"/>
    <x v="31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3000"/>
    <n v="0"/>
    <n v="3000"/>
    <n v="1200"/>
    <n v="1200"/>
    <n v="0"/>
    <n v="0"/>
    <n v="0"/>
    <n v="0"/>
    <n v="0"/>
    <n v="0"/>
    <n v="1200"/>
    <n v="0"/>
    <n v="0"/>
    <n v="0"/>
    <n v="0"/>
    <n v="0"/>
    <n v="0"/>
    <n v="0"/>
    <n v="0"/>
    <n v="0"/>
    <n v="0"/>
    <n v="0"/>
    <n v="1200"/>
    <n v="0"/>
    <n v="0"/>
    <n v="0"/>
    <n v="0"/>
    <n v="0"/>
    <n v="0"/>
    <n v="0"/>
    <n v="0"/>
    <n v="0"/>
    <n v="0"/>
    <n v="0"/>
    <n v="1200"/>
    <n v="0"/>
    <n v="0"/>
    <n v="0"/>
    <n v="0"/>
    <n v="0"/>
    <n v="0"/>
    <n v="0"/>
    <n v="0"/>
    <n v="0"/>
    <n v="0"/>
    <n v="0"/>
    <n v="1200"/>
    <n v="0"/>
    <n v="0"/>
    <n v="0"/>
    <n v="0"/>
    <n v="0"/>
    <x v="0"/>
    <x v="13"/>
    <x v="13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1. PLANEAMIENTO Y PRESUPUESTO"/>
    <s v="20. SALUD"/>
    <s v="004. PLANEAMIENTO GUBERNAMENTAL"/>
    <s v="0005. PLANEAMIENTO INSTITUCIONAL"/>
    <s v="00001"/>
    <s v="0001179. PLANEAMIENTO Y PRESUPUESTO"/>
    <s v="00001 - ACCION"/>
    <n v="12"/>
    <n v="6"/>
    <n v="5"/>
    <n v="5"/>
    <x v="1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1800"/>
    <n v="0"/>
    <n v="1800"/>
    <n v="1100"/>
    <n v="1100"/>
    <n v="0"/>
    <n v="0"/>
    <n v="0"/>
    <n v="0"/>
    <n v="0"/>
    <n v="0"/>
    <n v="1100"/>
    <n v="0"/>
    <n v="0"/>
    <n v="0"/>
    <n v="0"/>
    <n v="0"/>
    <n v="0"/>
    <n v="0"/>
    <n v="0"/>
    <n v="0"/>
    <n v="0"/>
    <n v="0"/>
    <n v="1100"/>
    <n v="0"/>
    <n v="0"/>
    <n v="0"/>
    <n v="0"/>
    <n v="0"/>
    <n v="0"/>
    <n v="0"/>
    <n v="0"/>
    <n v="0"/>
    <n v="0"/>
    <n v="0"/>
    <n v="1100"/>
    <n v="0"/>
    <n v="0"/>
    <n v="0"/>
    <n v="0"/>
    <n v="0"/>
    <n v="0"/>
    <n v="0"/>
    <n v="0"/>
    <n v="0"/>
    <n v="0"/>
    <n v="0"/>
    <n v="1100"/>
    <n v="0"/>
    <n v="0"/>
    <n v="0"/>
    <n v="0"/>
    <n v="0"/>
    <x v="0"/>
    <x v="13"/>
    <x v="13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77400"/>
    <n v="-43924"/>
    <n v="33476"/>
    <n v="12700"/>
    <n v="12700"/>
    <n v="0"/>
    <n v="0"/>
    <n v="0"/>
    <n v="0"/>
    <n v="0"/>
    <n v="0"/>
    <n v="12700"/>
    <n v="0"/>
    <n v="0"/>
    <n v="0"/>
    <n v="0"/>
    <n v="0"/>
    <n v="0"/>
    <n v="0"/>
    <n v="0"/>
    <n v="0"/>
    <n v="0"/>
    <n v="0"/>
    <n v="12700"/>
    <n v="0"/>
    <n v="0"/>
    <n v="0"/>
    <n v="0"/>
    <n v="0"/>
    <n v="0"/>
    <n v="0"/>
    <n v="0"/>
    <n v="0"/>
    <n v="0"/>
    <n v="0"/>
    <n v="12700"/>
    <n v="0"/>
    <n v="0"/>
    <n v="0"/>
    <n v="0"/>
    <n v="0"/>
    <n v="0"/>
    <n v="0"/>
    <n v="0"/>
    <n v="0"/>
    <n v="0"/>
    <n v="0"/>
    <n v="12010"/>
    <n v="0"/>
    <n v="0"/>
    <n v="0"/>
    <n v="0"/>
    <n v="0"/>
    <x v="0"/>
    <x v="13"/>
    <x v="13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5. GESTION DE RECURSOS HUMANOS"/>
    <s v="20. SALUD"/>
    <s v="006. GESTION"/>
    <s v="0011. PREPARACION Y PERFECCIONAMIENTO DE RECURSOS HUMANOS"/>
    <s v="00001"/>
    <s v="0053571. GESTION DE RECURSOS HUMANOS"/>
    <s v="00001 - ACCION"/>
    <n v="2426"/>
    <n v="1213"/>
    <n v="124"/>
    <n v="124"/>
    <x v="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7800"/>
    <n v="0"/>
    <n v="7800"/>
    <n v="5200"/>
    <n v="5200"/>
    <n v="0"/>
    <n v="0"/>
    <n v="0"/>
    <n v="0"/>
    <n v="0"/>
    <n v="0"/>
    <n v="5200"/>
    <n v="0"/>
    <n v="0"/>
    <n v="0"/>
    <n v="0"/>
    <n v="0"/>
    <n v="0"/>
    <n v="0"/>
    <n v="0"/>
    <n v="0"/>
    <n v="0"/>
    <n v="0"/>
    <n v="5200"/>
    <n v="0"/>
    <n v="0"/>
    <n v="0"/>
    <n v="0"/>
    <n v="0"/>
    <n v="0"/>
    <n v="0"/>
    <n v="0"/>
    <n v="0"/>
    <n v="0"/>
    <n v="0"/>
    <n v="5200"/>
    <n v="0"/>
    <n v="0"/>
    <n v="0"/>
    <n v="0"/>
    <n v="0"/>
    <n v="0"/>
    <n v="0"/>
    <n v="0"/>
    <n v="0"/>
    <n v="0"/>
    <n v="0"/>
    <n v="4710"/>
    <n v="0"/>
    <n v="0"/>
    <n v="0"/>
    <n v="0"/>
    <n v="0"/>
    <x v="0"/>
    <x v="13"/>
    <x v="13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6. ACCIONES DE CONTROL Y AUDITORIA"/>
    <s v="20. SALUD"/>
    <s v="006. GESTION"/>
    <s v="0012. CONTROL INTERNO"/>
    <s v="00001"/>
    <s v="0023404. ACCIONES DE CONTROL Y AUDITORIA"/>
    <s v="00001 - ACCION"/>
    <n v="54"/>
    <n v="27"/>
    <n v="13"/>
    <n v="13"/>
    <x v="4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1200"/>
    <n v="0"/>
    <n v="1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3"/>
    <x v="13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377. MEJORAMIENTO DE LA OFERTA DE LOS SERVICIOS DE SALUD"/>
    <s v="20. SALUD"/>
    <s v="044. SALUD INDIVIDUAL"/>
    <s v="0097. ATENCION MEDICA ESPECIALIZADA"/>
    <s v="00001"/>
    <s v="0006831. MEJORAR LA ATENCION A LA POBLACION"/>
    <s v="00006 - ATENCION"/>
    <n v="2400"/>
    <n v="1200"/>
    <n v="940"/>
    <n v="940"/>
    <x v="3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6600"/>
    <n v="0"/>
    <n v="6600"/>
    <n v="2400"/>
    <n v="2400"/>
    <n v="0"/>
    <n v="0"/>
    <n v="0"/>
    <n v="0"/>
    <n v="0"/>
    <n v="0"/>
    <n v="2400"/>
    <n v="0"/>
    <n v="0"/>
    <n v="0"/>
    <n v="0"/>
    <n v="0"/>
    <n v="0"/>
    <n v="0"/>
    <n v="0"/>
    <n v="0"/>
    <n v="0"/>
    <n v="0"/>
    <n v="2400"/>
    <n v="0"/>
    <n v="0"/>
    <n v="0"/>
    <n v="0"/>
    <n v="0"/>
    <n v="0"/>
    <n v="0"/>
    <n v="0"/>
    <n v="0"/>
    <n v="0"/>
    <n v="0"/>
    <n v="2400"/>
    <n v="0"/>
    <n v="0"/>
    <n v="0"/>
    <n v="0"/>
    <n v="0"/>
    <n v="0"/>
    <n v="0"/>
    <n v="0"/>
    <n v="0"/>
    <n v="0"/>
    <n v="0"/>
    <n v="2400"/>
    <n v="0"/>
    <n v="0"/>
    <n v="0"/>
    <n v="0"/>
    <n v="0"/>
    <x v="0"/>
    <x v="13"/>
    <x v="13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00. ATENCION BASICA DE SALUD"/>
    <s v="20. SALUD"/>
    <s v="044. SALUD INDIVIDUAL"/>
    <s v="0096. ATENCION MEDICA BASICA"/>
    <s v="00001"/>
    <s v="0000251. ATENCION BASICA"/>
    <s v="00006 - ATENCION"/>
    <n v="200000"/>
    <n v="100000"/>
    <n v="78000"/>
    <n v="78000"/>
    <x v="3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40800"/>
    <n v="0"/>
    <n v="40800"/>
    <n v="1200"/>
    <n v="1200"/>
    <n v="0"/>
    <n v="0"/>
    <n v="0"/>
    <n v="0"/>
    <n v="0"/>
    <n v="0"/>
    <n v="1200"/>
    <n v="0"/>
    <n v="0"/>
    <n v="0"/>
    <n v="0"/>
    <n v="0"/>
    <n v="0"/>
    <n v="0"/>
    <n v="0"/>
    <n v="0"/>
    <n v="0"/>
    <n v="0"/>
    <n v="1200"/>
    <n v="0"/>
    <n v="0"/>
    <n v="0"/>
    <n v="0"/>
    <n v="0"/>
    <n v="0"/>
    <n v="0"/>
    <n v="0"/>
    <n v="0"/>
    <n v="0"/>
    <n v="0"/>
    <n v="1200"/>
    <n v="0"/>
    <n v="0"/>
    <n v="0"/>
    <n v="0"/>
    <n v="0"/>
    <n v="0"/>
    <n v="0"/>
    <n v="0"/>
    <n v="0"/>
    <n v="0"/>
    <n v="0"/>
    <n v="1200"/>
    <n v="0"/>
    <n v="0"/>
    <n v="0"/>
    <n v="0"/>
    <n v="0"/>
    <x v="0"/>
    <x v="13"/>
    <x v="13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10. ATENCION ESPECIALIZADA DE LA SALUD"/>
    <s v="20. SALUD"/>
    <s v="044. SALUD INDIVIDUAL"/>
    <s v="0097. ATENCION MEDICA ESPECIALIZADA"/>
    <s v="00001"/>
    <s v="0023484. ATENCION MEDICA ESPECIALIZADA"/>
    <s v="00006 - ATENCION"/>
    <n v="150000"/>
    <n v="75000"/>
    <n v="26347"/>
    <n v="26347"/>
    <x v="34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45600"/>
    <n v="-9600"/>
    <n v="36000"/>
    <n v="1200"/>
    <n v="1200"/>
    <n v="0"/>
    <n v="0"/>
    <n v="0"/>
    <n v="0"/>
    <n v="0"/>
    <n v="0"/>
    <n v="1200"/>
    <n v="0"/>
    <n v="0"/>
    <n v="0"/>
    <n v="0"/>
    <n v="0"/>
    <n v="0"/>
    <n v="0"/>
    <n v="0"/>
    <n v="0"/>
    <n v="0"/>
    <n v="0"/>
    <n v="1200"/>
    <n v="0"/>
    <n v="0"/>
    <n v="0"/>
    <n v="0"/>
    <n v="0"/>
    <n v="0"/>
    <n v="0"/>
    <n v="0"/>
    <n v="0"/>
    <n v="0"/>
    <n v="0"/>
    <n v="1200"/>
    <n v="0"/>
    <n v="0"/>
    <n v="0"/>
    <n v="0"/>
    <n v="0"/>
    <n v="0"/>
    <n v="0"/>
    <n v="0"/>
    <n v="0"/>
    <n v="0"/>
    <n v="0"/>
    <n v="1200"/>
    <n v="0"/>
    <n v="0"/>
    <n v="0"/>
    <n v="0"/>
    <n v="0"/>
    <x v="0"/>
    <x v="13"/>
    <x v="13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2. ATENCION EN CONSULTAS EXTERNAS"/>
    <s v="20. SALUD"/>
    <s v="044. SALUD INDIVIDUAL"/>
    <s v="0097. ATENCION MEDICA ESPECIALIZADA"/>
    <s v="00001"/>
    <s v="0000266. ATENCION EN CONSULTAS EXTERNAS"/>
    <s v="00006 - ATENCION"/>
    <n v="150000"/>
    <n v="75000"/>
    <n v="31583"/>
    <n v="31583"/>
    <x v="35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4200"/>
    <n v="0"/>
    <n v="4200"/>
    <n v="2700"/>
    <n v="2700"/>
    <n v="0"/>
    <n v="0"/>
    <n v="0"/>
    <n v="0"/>
    <n v="0"/>
    <n v="0"/>
    <n v="2700"/>
    <n v="0"/>
    <n v="0"/>
    <n v="0"/>
    <n v="0"/>
    <n v="0"/>
    <n v="0"/>
    <n v="0"/>
    <n v="0"/>
    <n v="0"/>
    <n v="0"/>
    <n v="0"/>
    <n v="2700"/>
    <n v="0"/>
    <n v="0"/>
    <n v="0"/>
    <n v="0"/>
    <n v="0"/>
    <n v="0"/>
    <n v="0"/>
    <n v="0"/>
    <n v="0"/>
    <n v="0"/>
    <n v="0"/>
    <n v="2700"/>
    <n v="0"/>
    <n v="0"/>
    <n v="0"/>
    <n v="0"/>
    <n v="0"/>
    <n v="0"/>
    <n v="0"/>
    <n v="0"/>
    <n v="0"/>
    <n v="0"/>
    <n v="0"/>
    <n v="2700"/>
    <n v="0"/>
    <n v="0"/>
    <n v="0"/>
    <n v="0"/>
    <n v="0"/>
    <x v="0"/>
    <x v="13"/>
    <x v="13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17400"/>
    <n v="0"/>
    <n v="17400"/>
    <n v="11200"/>
    <n v="11200"/>
    <n v="0"/>
    <n v="0"/>
    <n v="0"/>
    <n v="0"/>
    <n v="0"/>
    <n v="0"/>
    <n v="11200"/>
    <n v="0"/>
    <n v="0"/>
    <n v="0"/>
    <n v="0"/>
    <n v="0"/>
    <n v="0"/>
    <n v="0"/>
    <n v="0"/>
    <n v="0"/>
    <n v="0"/>
    <n v="0"/>
    <n v="11200"/>
    <n v="0"/>
    <n v="0"/>
    <n v="0"/>
    <n v="0"/>
    <n v="0"/>
    <n v="0"/>
    <n v="0"/>
    <n v="0"/>
    <n v="0"/>
    <n v="0"/>
    <n v="0"/>
    <n v="11200"/>
    <n v="0"/>
    <n v="0"/>
    <n v="0"/>
    <n v="0"/>
    <n v="0"/>
    <n v="0"/>
    <n v="0"/>
    <n v="0"/>
    <n v="0"/>
    <n v="0"/>
    <n v="0"/>
    <n v="10885.12"/>
    <n v="0"/>
    <n v="0"/>
    <n v="0"/>
    <n v="0"/>
    <n v="0"/>
    <x v="0"/>
    <x v="13"/>
    <x v="13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4. INTERVENCIONES QUIRURGICAS"/>
    <s v="20. SALUD"/>
    <s v="044. SALUD INDIVIDUAL"/>
    <s v="0097. ATENCION MEDICA ESPECIALIZADA"/>
    <s v="00001"/>
    <s v="0000257. ATENCION DE INTERVENCIONES QUIRURGICAS"/>
    <s v="00006 - ATENCION"/>
    <n v="20000"/>
    <n v="10000"/>
    <n v="8000"/>
    <n v="8000"/>
    <x v="3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6000"/>
    <n v="0"/>
    <n v="6000"/>
    <n v="1200"/>
    <n v="1200"/>
    <n v="0"/>
    <n v="0"/>
    <n v="0"/>
    <n v="0"/>
    <n v="0"/>
    <n v="0"/>
    <n v="1200"/>
    <n v="0"/>
    <n v="0"/>
    <n v="0"/>
    <n v="0"/>
    <n v="0"/>
    <n v="0"/>
    <n v="0"/>
    <n v="0"/>
    <n v="0"/>
    <n v="0"/>
    <n v="0"/>
    <n v="1200"/>
    <n v="0"/>
    <n v="0"/>
    <n v="0"/>
    <n v="0"/>
    <n v="0"/>
    <n v="0"/>
    <n v="0"/>
    <n v="0"/>
    <n v="0"/>
    <n v="0"/>
    <n v="0"/>
    <n v="1200"/>
    <n v="0"/>
    <n v="0"/>
    <n v="0"/>
    <n v="0"/>
    <n v="0"/>
    <n v="0"/>
    <n v="0"/>
    <n v="0"/>
    <n v="0"/>
    <n v="0"/>
    <n v="0"/>
    <n v="1200"/>
    <n v="0"/>
    <n v="0"/>
    <n v="0"/>
    <n v="0"/>
    <n v="0"/>
    <x v="0"/>
    <x v="13"/>
    <x v="13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6. OTRAS ATENCIONES DE SALUD ESPECIALIZADAS"/>
    <s v="20. SALUD"/>
    <s v="044. SALUD INDIVIDUAL"/>
    <s v="0097. ATENCION MEDICA ESPECIALIZADA"/>
    <s v="00001"/>
    <s v="0023484. ATENCION MEDICA ESPECIALIZADA"/>
    <s v="00006 - ATENCION"/>
    <n v="25000"/>
    <n v="12500"/>
    <n v="11000"/>
    <n v="11000"/>
    <x v="3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6600"/>
    <n v="-4800"/>
    <n v="1800"/>
    <n v="300"/>
    <n v="30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x v="0"/>
    <x v="13"/>
    <x v="13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9. COMERCIALIZACION DE MEDICAMENTOS E INSUMOS"/>
    <s v="20. SALUD"/>
    <s v="044. SALUD INDIVIDUAL"/>
    <s v="0098. SERVICIOS DE DIAGNOSTICO Y TRATAMIENTO"/>
    <s v="00001"/>
    <s v="0001468. VENTA DE MEDICINAS"/>
    <s v="00006 - ATENCION"/>
    <n v="500000"/>
    <n v="250000"/>
    <n v="225000"/>
    <n v="225000"/>
    <x v="3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9000"/>
    <n v="0"/>
    <n v="9000"/>
    <n v="4200"/>
    <n v="4200"/>
    <n v="0"/>
    <n v="0"/>
    <n v="0"/>
    <n v="0"/>
    <n v="0"/>
    <n v="0"/>
    <n v="4200"/>
    <n v="0"/>
    <n v="0"/>
    <n v="0"/>
    <n v="0"/>
    <n v="0"/>
    <n v="0"/>
    <n v="0"/>
    <n v="0"/>
    <n v="0"/>
    <n v="0"/>
    <n v="0"/>
    <n v="4200"/>
    <n v="0"/>
    <n v="0"/>
    <n v="0"/>
    <n v="0"/>
    <n v="0"/>
    <n v="0"/>
    <n v="0"/>
    <n v="0"/>
    <n v="0"/>
    <n v="0"/>
    <n v="0"/>
    <n v="4200"/>
    <n v="0"/>
    <n v="0"/>
    <n v="0"/>
    <n v="0"/>
    <n v="0"/>
    <n v="0"/>
    <n v="0"/>
    <n v="0"/>
    <n v="0"/>
    <n v="0"/>
    <n v="0"/>
    <n v="4200"/>
    <n v="0"/>
    <n v="0"/>
    <n v="0"/>
    <n v="0"/>
    <n v="0"/>
    <x v="0"/>
    <x v="13"/>
    <x v="13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2197. PRESTACIONES ADMINISTRATIVAS SUBSIDIADAS/NO TARIFADO"/>
    <s v="20. SALUD"/>
    <s v="044. SALUD INDIVIDUAL"/>
    <s v="0097. ATENCION MEDICA ESPECIALIZADA"/>
    <s v="00001"/>
    <s v="0002088. SEGURO INTEGRAL DE SALUD"/>
    <s v="00006 - ATENCION"/>
    <n v="50000"/>
    <n v="25000"/>
    <n v="26500"/>
    <n v="26500"/>
    <x v="4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8400"/>
    <n v="0"/>
    <n v="8400"/>
    <n v="4500"/>
    <n v="4500"/>
    <n v="0"/>
    <n v="0"/>
    <n v="0"/>
    <n v="0"/>
    <n v="0"/>
    <n v="0"/>
    <n v="4500"/>
    <n v="0"/>
    <n v="0"/>
    <n v="0"/>
    <n v="0"/>
    <n v="0"/>
    <n v="0"/>
    <n v="0"/>
    <n v="0"/>
    <n v="0"/>
    <n v="0"/>
    <n v="0"/>
    <n v="4500"/>
    <n v="0"/>
    <n v="0"/>
    <n v="0"/>
    <n v="0"/>
    <n v="0"/>
    <n v="0"/>
    <n v="0"/>
    <n v="0"/>
    <n v="0"/>
    <n v="0"/>
    <n v="0"/>
    <n v="4500"/>
    <n v="0"/>
    <n v="0"/>
    <n v="0"/>
    <n v="0"/>
    <n v="0"/>
    <n v="0"/>
    <n v="0"/>
    <n v="0"/>
    <n v="0"/>
    <n v="0"/>
    <n v="0"/>
    <n v="4500"/>
    <n v="0"/>
    <n v="0"/>
    <n v="0"/>
    <n v="0"/>
    <n v="0"/>
    <x v="0"/>
    <x v="13"/>
    <x v="13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2. AGUINALDOS"/>
    <s v="0 . RECURSOS ORDINARIOS"/>
    <n v="13200"/>
    <n v="7200"/>
    <n v="20400"/>
    <n v="20400"/>
    <n v="20400"/>
    <n v="0"/>
    <n v="0"/>
    <n v="0"/>
    <n v="0"/>
    <n v="0"/>
    <n v="0"/>
    <n v="20400"/>
    <n v="0"/>
    <n v="0"/>
    <n v="0"/>
    <n v="0"/>
    <n v="0"/>
    <n v="0"/>
    <n v="0"/>
    <n v="0"/>
    <n v="0"/>
    <n v="0"/>
    <n v="0"/>
    <n v="20400"/>
    <n v="0"/>
    <n v="0"/>
    <n v="0"/>
    <n v="0"/>
    <n v="0"/>
    <n v="0"/>
    <n v="0"/>
    <n v="0"/>
    <n v="0"/>
    <n v="0"/>
    <n v="0"/>
    <n v="20400"/>
    <n v="0"/>
    <n v="0"/>
    <n v="0"/>
    <n v="0"/>
    <n v="0"/>
    <n v="0"/>
    <n v="0"/>
    <n v="0"/>
    <n v="0"/>
    <n v="0"/>
    <n v="0"/>
    <n v="20040.5"/>
    <n v="0"/>
    <n v="0"/>
    <n v="0"/>
    <n v="0"/>
    <n v="0"/>
    <x v="0"/>
    <x v="13"/>
    <x v="13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315."/>
    <s v="5.ACTIVIDAD"/>
    <s v="5000031. BRINDAR ATENCION A OTRAS ENFERMEDADES PREVALENTES"/>
    <s v="20. SALUD"/>
    <s v="044. SALUD INDIVIDUAL"/>
    <s v="0096. ATENCION MEDICA BASICA"/>
    <s v="00001"/>
    <s v="0033315. ATENCION DE OTRAS ENFERMEDADES PREVALENTES"/>
    <s v="00016 - CASO TRATADO"/>
    <n v="440"/>
    <n v="220"/>
    <n v="198"/>
    <n v="198"/>
    <x v="6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400"/>
    <n v="0"/>
    <n v="400"/>
    <n v="400"/>
    <n v="400"/>
    <n v="400"/>
    <n v="0"/>
    <n v="0"/>
    <n v="0"/>
    <n v="0"/>
    <n v="0"/>
    <n v="0"/>
    <n v="0"/>
    <n v="0"/>
    <n v="0"/>
    <n v="0"/>
    <n v="0"/>
    <n v="400"/>
    <n v="0"/>
    <n v="0"/>
    <n v="0"/>
    <n v="0"/>
    <n v="0"/>
    <n v="0"/>
    <n v="0"/>
    <n v="0"/>
    <n v="0"/>
    <n v="0"/>
    <n v="0"/>
    <n v="400"/>
    <n v="0"/>
    <n v="0"/>
    <n v="0"/>
    <n v="0"/>
    <n v="0"/>
    <n v="0"/>
    <n v="0"/>
    <n v="0"/>
    <n v="0"/>
    <n v="0"/>
    <n v="0"/>
    <n v="400"/>
    <n v="0"/>
    <n v="0"/>
    <n v="0"/>
    <n v="0"/>
    <n v="0"/>
    <n v="0"/>
    <n v="0"/>
    <n v="0"/>
    <n v="0"/>
    <n v="0"/>
    <n v="0"/>
    <x v="0"/>
    <x v="14"/>
    <x v="14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00001."/>
    <s v="5.ACTIVIDAD"/>
    <s v="5004389. DESARROLLO DE NORMAS Y GUIAS TECNICAS EN SALUD MATERNO NEONATAL"/>
    <s v="20. SALUD"/>
    <s v="043. SALUD COLECTIVA"/>
    <s v="0093. REGULACION Y CONTROL SANITARIO"/>
    <s v="00001"/>
    <s v="0033287. DESARROLLO DE NORMAS Y GUIAS TECNICAS EN SALUD MATERNO NEONATAL"/>
    <s v="00080 - NORMA"/>
    <n v="2"/>
    <n v="1"/>
    <n v="0"/>
    <n v="0"/>
    <x v="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800"/>
    <n v="0"/>
    <n v="800"/>
    <n v="800"/>
    <n v="800"/>
    <n v="800"/>
    <n v="0"/>
    <n v="0"/>
    <n v="0"/>
    <n v="0"/>
    <n v="0"/>
    <n v="0"/>
    <n v="0"/>
    <n v="0"/>
    <n v="0"/>
    <n v="0"/>
    <n v="0"/>
    <n v="800"/>
    <n v="0"/>
    <n v="0"/>
    <n v="0"/>
    <n v="0"/>
    <n v="0"/>
    <n v="0"/>
    <n v="0"/>
    <n v="0"/>
    <n v="0"/>
    <n v="0"/>
    <n v="0"/>
    <n v="0"/>
    <n v="800"/>
    <n v="0"/>
    <n v="0"/>
    <n v="0"/>
    <n v="0"/>
    <n v="0"/>
    <n v="0"/>
    <n v="0"/>
    <n v="0"/>
    <n v="0"/>
    <n v="0"/>
    <n v="0"/>
    <n v="800"/>
    <n v="0"/>
    <n v="0"/>
    <n v="0"/>
    <n v="0"/>
    <n v="0"/>
    <n v="0"/>
    <n v="0"/>
    <n v="0"/>
    <n v="0"/>
    <n v="0"/>
    <x v="0"/>
    <x v="14"/>
    <x v="14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00005."/>
    <s v="5.ACTIVIDAD"/>
    <s v="5000058. BRINDAR SERVICIOS DE SALUD PARA PREVENCION DEL EMBARAZO A ADOLESCENTES"/>
    <s v="20. SALUD"/>
    <s v="044. SALUD INDIVIDUAL"/>
    <s v="0096. ATENCION MEDICA BASICA"/>
    <s v="00001"/>
    <s v="0053220. ADOLESCENTES ACCEDEN A SERVICIOS DE SALUD PARA PREVENCION DEL EMBARAZO"/>
    <s v="00150 - ADOLESCENTE"/>
    <n v="200"/>
    <n v="100"/>
    <n v="0"/>
    <n v="0"/>
    <x v="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800"/>
    <n v="0"/>
    <n v="800"/>
    <n v="800"/>
    <n v="800"/>
    <n v="800"/>
    <n v="0"/>
    <n v="0"/>
    <n v="0"/>
    <n v="0"/>
    <n v="0"/>
    <n v="0"/>
    <n v="0"/>
    <n v="0"/>
    <n v="0"/>
    <n v="0"/>
    <n v="0"/>
    <n v="800"/>
    <n v="0"/>
    <n v="0"/>
    <n v="0"/>
    <n v="0"/>
    <n v="0"/>
    <n v="0"/>
    <n v="0"/>
    <n v="0"/>
    <n v="0"/>
    <n v="0"/>
    <n v="0"/>
    <n v="388.72"/>
    <n v="411.28"/>
    <n v="0"/>
    <n v="0"/>
    <n v="0"/>
    <n v="0"/>
    <n v="0"/>
    <n v="0"/>
    <n v="0"/>
    <n v="0"/>
    <n v="0"/>
    <n v="0"/>
    <n v="388.72"/>
    <n v="411.28"/>
    <n v="0"/>
    <n v="0"/>
    <n v="0"/>
    <n v="0"/>
    <n v="0"/>
    <n v="0"/>
    <n v="0"/>
    <n v="0"/>
    <n v="0"/>
    <n v="0"/>
    <x v="0"/>
    <x v="14"/>
    <x v="14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172."/>
    <s v="5.ACTIVIDAD"/>
    <s v="5000037. BRINDAR ATENCION PRENATAL REENFOCADA"/>
    <s v="20. SALUD"/>
    <s v="044. SALUD INDIVIDUAL"/>
    <s v="0096. ATENCION MEDICA BASICA"/>
    <s v="00001"/>
    <s v="0033172. ATENCION PRENATAL REENFOCADA"/>
    <s v="00058 - GESTANTE CONTROLADA"/>
    <n v="3140"/>
    <n v="1570"/>
    <n v="1605"/>
    <n v="1605"/>
    <x v="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7200"/>
    <n v="0"/>
    <n v="7200"/>
    <n v="7200"/>
    <n v="7200"/>
    <n v="7200"/>
    <n v="0"/>
    <n v="0"/>
    <n v="0"/>
    <n v="0"/>
    <n v="0"/>
    <n v="0"/>
    <n v="0"/>
    <n v="0"/>
    <n v="0"/>
    <n v="0"/>
    <n v="0"/>
    <n v="7200"/>
    <n v="0"/>
    <n v="0"/>
    <n v="0"/>
    <n v="0"/>
    <n v="0"/>
    <n v="0"/>
    <n v="0"/>
    <n v="0"/>
    <n v="0"/>
    <n v="0"/>
    <n v="0"/>
    <n v="6205.21"/>
    <n v="994.79"/>
    <n v="0"/>
    <n v="0"/>
    <n v="0"/>
    <n v="0"/>
    <n v="0"/>
    <n v="0"/>
    <n v="0"/>
    <n v="0"/>
    <n v="0"/>
    <n v="0"/>
    <n v="6205.21"/>
    <n v="994.79"/>
    <n v="0"/>
    <n v="0"/>
    <n v="0"/>
    <n v="0"/>
    <n v="0"/>
    <n v="0"/>
    <n v="0"/>
    <n v="0"/>
    <n v="0"/>
    <n v="0"/>
    <x v="0"/>
    <x v="14"/>
    <x v="14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1."/>
    <s v="5.ACTIVIDAD"/>
    <s v="5000042. MEJORAMIENTO DEL ACCESO DE LA POBLACION A METODOS DE PLANIFICACION FAMILIAR"/>
    <s v="20. SALUD"/>
    <s v="044. SALUD INDIVIDUAL"/>
    <s v="0096. ATENCION MEDICA BASICA"/>
    <s v="00001"/>
    <s v="0033291. POBLACION ACCEDE A METODOS DE PLANIFICACION FAMILIAR"/>
    <s v="00206 - PAREJA PROTEGIDA"/>
    <n v="2838"/>
    <n v="1419"/>
    <n v="909"/>
    <n v="909"/>
    <x v="44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1200"/>
    <n v="0"/>
    <n v="1200"/>
    <n v="1200"/>
    <n v="1200"/>
    <n v="1200"/>
    <n v="0"/>
    <n v="0"/>
    <n v="0"/>
    <n v="0"/>
    <n v="0"/>
    <n v="0"/>
    <n v="0"/>
    <n v="0"/>
    <n v="0"/>
    <n v="0"/>
    <n v="0"/>
    <n v="1200"/>
    <n v="0"/>
    <n v="0"/>
    <n v="0"/>
    <n v="0"/>
    <n v="0"/>
    <n v="0"/>
    <n v="0"/>
    <n v="0"/>
    <n v="0"/>
    <n v="0"/>
    <n v="0"/>
    <n v="0"/>
    <n v="1200"/>
    <n v="0"/>
    <n v="0"/>
    <n v="0"/>
    <n v="0"/>
    <n v="0"/>
    <n v="0"/>
    <n v="0"/>
    <n v="0"/>
    <n v="0"/>
    <n v="0"/>
    <n v="0"/>
    <n v="1200"/>
    <n v="0"/>
    <n v="0"/>
    <n v="0"/>
    <n v="0"/>
    <n v="0"/>
    <n v="0"/>
    <n v="0"/>
    <n v="0"/>
    <n v="0"/>
    <n v="0"/>
    <x v="0"/>
    <x v="14"/>
    <x v="14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4."/>
    <s v="5.ACTIVIDAD"/>
    <s v="5000044. BRINDAR ATENCION A LA GESTANTE CON COMPLICACIONES"/>
    <s v="20. SALUD"/>
    <s v="044. SALUD INDIVIDUAL"/>
    <s v="0097. ATENCION MEDICA ESPECIALIZADA"/>
    <s v="00001"/>
    <s v="0033294. ATENCION DE LA GESTANTE CON COMPLICACIONES"/>
    <s v="00016 - CASO TRATADO"/>
    <n v="4100"/>
    <n v="2050"/>
    <n v="1830"/>
    <n v="1830"/>
    <x v="1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10133"/>
    <n v="0"/>
    <n v="10133"/>
    <n v="10133"/>
    <n v="10133"/>
    <n v="10133"/>
    <n v="0"/>
    <n v="0"/>
    <n v="0"/>
    <n v="0"/>
    <n v="0"/>
    <n v="0"/>
    <n v="0"/>
    <n v="0"/>
    <n v="0"/>
    <n v="0"/>
    <n v="0"/>
    <n v="10133"/>
    <n v="0"/>
    <n v="0"/>
    <n v="0"/>
    <n v="0"/>
    <n v="0"/>
    <n v="0"/>
    <n v="0"/>
    <n v="0"/>
    <n v="0"/>
    <n v="0"/>
    <n v="0"/>
    <n v="9301.02"/>
    <n v="831.98"/>
    <n v="0"/>
    <n v="0"/>
    <n v="0"/>
    <n v="0"/>
    <n v="0"/>
    <n v="0"/>
    <n v="0"/>
    <n v="0"/>
    <n v="0"/>
    <n v="0"/>
    <n v="9301.02"/>
    <n v="831.98"/>
    <n v="0"/>
    <n v="0"/>
    <n v="0"/>
    <n v="0"/>
    <n v="0"/>
    <n v="0"/>
    <n v="0"/>
    <n v="0"/>
    <n v="0"/>
    <n v="0"/>
    <x v="0"/>
    <x v="14"/>
    <x v="14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5."/>
    <s v="5.ACTIVIDAD"/>
    <s v="5000045. BRINDAR ATENCION DE PARTO NORMAL"/>
    <s v="20. SALUD"/>
    <s v="044. SALUD INDIVIDUAL"/>
    <s v="0096. ATENCION MEDICA BASICA"/>
    <s v="00001"/>
    <s v="0033295. ATENCION DEL PARTO NORMAL"/>
    <s v="00208 - PARTO NORMAL"/>
    <n v="1400"/>
    <n v="700"/>
    <n v="447"/>
    <n v="447"/>
    <x v="11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2000"/>
    <n v="0"/>
    <n v="2000"/>
    <n v="2000"/>
    <n v="2000"/>
    <n v="2000"/>
    <n v="0"/>
    <n v="0"/>
    <n v="0"/>
    <n v="0"/>
    <n v="0"/>
    <n v="0"/>
    <n v="0"/>
    <n v="0"/>
    <n v="0"/>
    <n v="0"/>
    <n v="0"/>
    <n v="2000"/>
    <n v="0"/>
    <n v="0"/>
    <n v="0"/>
    <n v="0"/>
    <n v="0"/>
    <n v="0"/>
    <n v="0"/>
    <n v="0"/>
    <n v="0"/>
    <n v="0"/>
    <n v="0"/>
    <n v="1864.05"/>
    <n v="135.94999999999999"/>
    <n v="0"/>
    <n v="0"/>
    <n v="0"/>
    <n v="0"/>
    <n v="0"/>
    <n v="0"/>
    <n v="0"/>
    <n v="0"/>
    <n v="0"/>
    <n v="0"/>
    <n v="1864.05"/>
    <n v="135.94999999999999"/>
    <n v="0"/>
    <n v="0"/>
    <n v="0"/>
    <n v="0"/>
    <n v="0"/>
    <n v="0"/>
    <n v="0"/>
    <n v="0"/>
    <n v="0"/>
    <n v="0"/>
    <x v="0"/>
    <x v="14"/>
    <x v="14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6."/>
    <s v="5.ACTIVIDAD"/>
    <s v="5000046. BRINDAR ATENCION DEL PARTO COMPLICADO NO QUIRURGICO"/>
    <s v="20. SALUD"/>
    <s v="044. SALUD INDIVIDUAL"/>
    <s v="0097. ATENCION MEDICA ESPECIALIZADA"/>
    <s v="00001"/>
    <s v="0033296. ATENCION DEL PARTO COMPLICADO NO QUIRURGICO"/>
    <s v="00209 - PARTO COMPLICADO"/>
    <n v="1420"/>
    <n v="710"/>
    <n v="443"/>
    <n v="443"/>
    <x v="1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3733"/>
    <n v="0"/>
    <n v="3733"/>
    <n v="3733"/>
    <n v="3733"/>
    <n v="3733"/>
    <n v="0"/>
    <n v="0"/>
    <n v="0"/>
    <n v="0"/>
    <n v="0"/>
    <n v="0"/>
    <n v="0"/>
    <n v="0"/>
    <n v="0"/>
    <n v="0"/>
    <n v="0"/>
    <n v="3733"/>
    <n v="0"/>
    <n v="0"/>
    <n v="0"/>
    <n v="0"/>
    <n v="0"/>
    <n v="0"/>
    <n v="0"/>
    <n v="0"/>
    <n v="0"/>
    <n v="0"/>
    <n v="0"/>
    <n v="1906.45"/>
    <n v="1826.55"/>
    <n v="0"/>
    <n v="0"/>
    <n v="0"/>
    <n v="0"/>
    <n v="0"/>
    <n v="0"/>
    <n v="0"/>
    <n v="0"/>
    <n v="0"/>
    <n v="0"/>
    <n v="1906.45"/>
    <n v="1826.55"/>
    <n v="0"/>
    <n v="0"/>
    <n v="0"/>
    <n v="0"/>
    <n v="0"/>
    <n v="0"/>
    <n v="0"/>
    <n v="0"/>
    <n v="0"/>
    <n v="0"/>
    <x v="0"/>
    <x v="14"/>
    <x v="14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7."/>
    <s v="5.ACTIVIDAD"/>
    <s v="5000047. BRINDAR ATENCION DEL PARTO COMPLICADO QUIRURGICO"/>
    <s v="20. SALUD"/>
    <s v="044. SALUD INDIVIDUAL"/>
    <s v="0097. ATENCION MEDICA ESPECIALIZADA"/>
    <s v="00001"/>
    <s v="0033297. ATENCION DEL PARTO COMPLICADO QUIRURGICO"/>
    <s v="00210 - CESAREA"/>
    <n v="1550"/>
    <n v="775"/>
    <n v="747"/>
    <n v="747"/>
    <x v="1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5600"/>
    <n v="0"/>
    <n v="5600"/>
    <n v="5600"/>
    <n v="5600"/>
    <n v="5600"/>
    <n v="0"/>
    <n v="0"/>
    <n v="0"/>
    <n v="0"/>
    <n v="0"/>
    <n v="0"/>
    <n v="0"/>
    <n v="0"/>
    <n v="0"/>
    <n v="0"/>
    <n v="0"/>
    <n v="5600"/>
    <n v="0"/>
    <n v="0"/>
    <n v="0"/>
    <n v="0"/>
    <n v="0"/>
    <n v="0"/>
    <n v="0"/>
    <n v="0"/>
    <n v="0"/>
    <n v="0"/>
    <n v="0"/>
    <n v="5197.7"/>
    <n v="402.3"/>
    <n v="0"/>
    <n v="0"/>
    <n v="0"/>
    <n v="0"/>
    <n v="0"/>
    <n v="0"/>
    <n v="0"/>
    <n v="0"/>
    <n v="0"/>
    <n v="0"/>
    <n v="5197.7"/>
    <n v="402.3"/>
    <n v="0"/>
    <n v="0"/>
    <n v="0"/>
    <n v="0"/>
    <n v="0"/>
    <n v="0"/>
    <n v="0"/>
    <n v="0"/>
    <n v="0"/>
    <n v="0"/>
    <x v="0"/>
    <x v="14"/>
    <x v="14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8."/>
    <s v="5.ACTIVIDAD"/>
    <s v="5000048. ATENDER EL PUERPERIO"/>
    <s v="20. SALUD"/>
    <s v="044. SALUD INDIVIDUAL"/>
    <s v="0096. ATENCION MEDICA BASICA"/>
    <s v="00001"/>
    <s v="0033298. ATENCION DEL PUERPERIO"/>
    <s v="00628 - DELITO ATENDIDO"/>
    <n v="150"/>
    <n v="75"/>
    <n v="15"/>
    <n v="15"/>
    <x v="14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3200"/>
    <n v="0"/>
    <n v="3200"/>
    <n v="3200"/>
    <n v="3200"/>
    <n v="3200"/>
    <n v="0"/>
    <n v="0"/>
    <n v="0"/>
    <n v="0"/>
    <n v="0"/>
    <n v="0"/>
    <n v="0"/>
    <n v="0"/>
    <n v="0"/>
    <n v="0"/>
    <n v="0"/>
    <n v="3200"/>
    <n v="0"/>
    <n v="0"/>
    <n v="0"/>
    <n v="0"/>
    <n v="0"/>
    <n v="0"/>
    <n v="0"/>
    <n v="0"/>
    <n v="0"/>
    <n v="0"/>
    <n v="0"/>
    <n v="2559.1999999999998"/>
    <n v="640.79999999999995"/>
    <n v="0"/>
    <n v="0"/>
    <n v="0"/>
    <n v="0"/>
    <n v="0"/>
    <n v="0"/>
    <n v="0"/>
    <n v="0"/>
    <n v="0"/>
    <n v="0"/>
    <n v="2559.1999999999998"/>
    <n v="640.79999999999995"/>
    <n v="0"/>
    <n v="0"/>
    <n v="0"/>
    <n v="0"/>
    <n v="0"/>
    <n v="0"/>
    <n v="0"/>
    <n v="0"/>
    <n v="0"/>
    <n v="0"/>
    <x v="0"/>
    <x v="14"/>
    <x v="14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0."/>
    <s v="5.ACTIVIDAD"/>
    <s v="5000050. ATENDER COMPLICACIONES OBSTETRICAS EN UNIDAD DE CUIDADOS INTENSIVOS"/>
    <s v="20. SALUD"/>
    <s v="044. SALUD INDIVIDUAL"/>
    <s v="0097. ATENCION MEDICA ESPECIALIZADA"/>
    <s v="00001"/>
    <s v="0033300. ATENCION OBSTETRICA EN UNIDAD DE CUIDADOS INTENSIVOS"/>
    <s v="00016 - CASO TRATADO"/>
    <n v="68"/>
    <n v="34"/>
    <n v="16"/>
    <n v="16"/>
    <x v="16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4400"/>
    <n v="0"/>
    <n v="4400"/>
    <n v="4400"/>
    <n v="4400"/>
    <n v="4400"/>
    <n v="0"/>
    <n v="0"/>
    <n v="0"/>
    <n v="0"/>
    <n v="0"/>
    <n v="0"/>
    <n v="0"/>
    <n v="0"/>
    <n v="0"/>
    <n v="0"/>
    <n v="0"/>
    <n v="4400"/>
    <n v="0"/>
    <n v="0"/>
    <n v="0"/>
    <n v="0"/>
    <n v="0"/>
    <n v="0"/>
    <n v="0"/>
    <n v="0"/>
    <n v="0"/>
    <n v="0"/>
    <n v="0"/>
    <n v="3966.18"/>
    <n v="433.82"/>
    <n v="0"/>
    <n v="0"/>
    <n v="0"/>
    <n v="0"/>
    <n v="0"/>
    <n v="0"/>
    <n v="0"/>
    <n v="0"/>
    <n v="0"/>
    <n v="0"/>
    <n v="3966.18"/>
    <n v="433.82"/>
    <n v="0"/>
    <n v="0"/>
    <n v="0"/>
    <n v="0"/>
    <n v="0"/>
    <n v="0"/>
    <n v="0"/>
    <n v="0"/>
    <n v="0"/>
    <n v="0"/>
    <x v="0"/>
    <x v="14"/>
    <x v="14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5."/>
    <s v="5.ACTIVIDAD"/>
    <s v="5000053. ATENDER AL RECIEN NACIDO NORMAL"/>
    <s v="20. SALUD"/>
    <s v="044. SALUD INDIVIDUAL"/>
    <s v="0096. ATENCION MEDICA BASICA"/>
    <s v="00001"/>
    <s v="0033305. ATENCION DEL RECIEN NACIDO NORMAL"/>
    <s v="00239 - RECIEN NACIDO ATENDIDO"/>
    <n v="7546"/>
    <n v="3773"/>
    <n v="2820"/>
    <n v="2820"/>
    <x v="1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5200"/>
    <n v="0"/>
    <n v="5200"/>
    <n v="5200"/>
    <n v="5200"/>
    <n v="5200"/>
    <n v="0"/>
    <n v="0"/>
    <n v="0"/>
    <n v="0"/>
    <n v="0"/>
    <n v="0"/>
    <n v="0"/>
    <n v="0"/>
    <n v="0"/>
    <n v="0"/>
    <n v="0"/>
    <n v="5200"/>
    <n v="0"/>
    <n v="0"/>
    <n v="0"/>
    <n v="0"/>
    <n v="0"/>
    <n v="0"/>
    <n v="0"/>
    <n v="0"/>
    <n v="0"/>
    <n v="0"/>
    <n v="0"/>
    <n v="4659.3"/>
    <n v="540.70000000000005"/>
    <n v="0"/>
    <n v="0"/>
    <n v="0"/>
    <n v="0"/>
    <n v="0"/>
    <n v="0"/>
    <n v="0"/>
    <n v="0"/>
    <n v="0"/>
    <n v="0"/>
    <n v="4659.3"/>
    <n v="540.70000000000005"/>
    <n v="0"/>
    <n v="0"/>
    <n v="0"/>
    <n v="0"/>
    <n v="0"/>
    <n v="0"/>
    <n v="0"/>
    <n v="0"/>
    <n v="0"/>
    <n v="0"/>
    <x v="0"/>
    <x v="14"/>
    <x v="14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2."/>
    <s v="5.ACTIVIDAD"/>
    <s v="5000110. BRINDAR TRATAMIENTO A PACIENTES CON DIAGNOSTICO DE CATARATAS"/>
    <s v="20. SALUD"/>
    <s v="044. SALUD INDIVIDUAL"/>
    <s v="0097. ATENCION MEDICA ESPECIALIZADA"/>
    <s v="00001"/>
    <s v="0135994. BRINDAR TRATAMIENTO A PACIENTES CON DIAGNOSTICO DE CATARATAS"/>
    <s v="00394 - TECNICO"/>
    <n v="648"/>
    <n v="324"/>
    <n v="141"/>
    <n v="141"/>
    <x v="2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800"/>
    <n v="0"/>
    <n v="800"/>
    <n v="800"/>
    <n v="800"/>
    <n v="800"/>
    <n v="0"/>
    <n v="0"/>
    <n v="0"/>
    <n v="0"/>
    <n v="0"/>
    <n v="0"/>
    <n v="0"/>
    <n v="0"/>
    <n v="0"/>
    <n v="0"/>
    <n v="0"/>
    <n v="800"/>
    <n v="0"/>
    <n v="0"/>
    <n v="0"/>
    <n v="0"/>
    <n v="0"/>
    <n v="0"/>
    <n v="0"/>
    <n v="0"/>
    <n v="0"/>
    <n v="0"/>
    <n v="0"/>
    <n v="770.28"/>
    <n v="29.72"/>
    <n v="0"/>
    <n v="0"/>
    <n v="0"/>
    <n v="0"/>
    <n v="0"/>
    <n v="0"/>
    <n v="0"/>
    <n v="0"/>
    <n v="0"/>
    <n v="0"/>
    <n v="770.28"/>
    <n v="29.72"/>
    <n v="0"/>
    <n v="0"/>
    <n v="0"/>
    <n v="0"/>
    <n v="0"/>
    <n v="0"/>
    <n v="0"/>
    <n v="0"/>
    <n v="0"/>
    <n v="0"/>
    <x v="0"/>
    <x v="14"/>
    <x v="14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6."/>
    <s v="5.ACTIVIDAD"/>
    <s v="5000114. BRINDAR TRATAMIENTO A PERSONAS CON DIAGNOSTICO DE HIPERTENSION ARTERIAL"/>
    <s v="20. SALUD"/>
    <s v="044. SALUD INDIVIDUAL"/>
    <s v="0097. ATENCION MEDICA ESPECIALIZADA"/>
    <s v="00001"/>
    <s v="0135998. BRINDAR TRATAMIENTO A PERSONAS CON DIAGNOSTICO DE HIPERTENSION ARTERIAL"/>
    <s v="00394 - TECNICO"/>
    <n v="771"/>
    <n v="385"/>
    <n v="382"/>
    <n v="382"/>
    <x v="2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400"/>
    <n v="0"/>
    <n v="400"/>
    <n v="400"/>
    <n v="400"/>
    <n v="400"/>
    <n v="0"/>
    <n v="0"/>
    <n v="0"/>
    <n v="0"/>
    <n v="0"/>
    <n v="0"/>
    <n v="0"/>
    <n v="0"/>
    <n v="0"/>
    <n v="0"/>
    <n v="0"/>
    <n v="400"/>
    <n v="0"/>
    <n v="0"/>
    <n v="0"/>
    <n v="0"/>
    <n v="0"/>
    <n v="0"/>
    <n v="0"/>
    <n v="0"/>
    <n v="0"/>
    <n v="0"/>
    <n v="0"/>
    <n v="400"/>
    <n v="0"/>
    <n v="0"/>
    <n v="0"/>
    <n v="0"/>
    <n v="0"/>
    <n v="0"/>
    <n v="0"/>
    <n v="0"/>
    <n v="0"/>
    <n v="0"/>
    <n v="0"/>
    <n v="400"/>
    <n v="0"/>
    <n v="0"/>
    <n v="0"/>
    <n v="0"/>
    <n v="0"/>
    <n v="0"/>
    <n v="0"/>
    <n v="0"/>
    <n v="0"/>
    <n v="0"/>
    <n v="0"/>
    <x v="0"/>
    <x v="14"/>
    <x v="14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2824. ATENCION AMBULATORIA DE URGENCIAS (PRIORIDAD III O IV) EN MODULOS HOSPITALARIOS DIFERENCIADOS AUTORIZADOS"/>
    <s v="20. SALUD"/>
    <s v="044. SALUD INDIVIDUAL"/>
    <s v="0096. ATENCION MEDICA BASICA"/>
    <s v="00001"/>
    <s v="0076144. ATENCION AMBULATORIA DE URGENCIAS (PRIORIDAD III O IV) EN MODULOS HOSPITALARIOS DIFERENCIADOS AUTORIZADOS"/>
    <s v="00006 - ATENCION"/>
    <n v="2000"/>
    <n v="1000"/>
    <n v="1994"/>
    <n v="1994"/>
    <x v="2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12400"/>
    <n v="0"/>
    <n v="12400"/>
    <n v="12400"/>
    <n v="12400"/>
    <n v="12400"/>
    <n v="0"/>
    <n v="0"/>
    <n v="0"/>
    <n v="0"/>
    <n v="0"/>
    <n v="0"/>
    <n v="0"/>
    <n v="0"/>
    <n v="0"/>
    <n v="0"/>
    <n v="0"/>
    <n v="12400"/>
    <n v="0"/>
    <n v="0"/>
    <n v="0"/>
    <n v="0"/>
    <n v="0"/>
    <n v="0"/>
    <n v="0"/>
    <n v="0"/>
    <n v="0"/>
    <n v="0"/>
    <n v="0"/>
    <n v="12220.9"/>
    <n v="179.1"/>
    <n v="0"/>
    <n v="0"/>
    <n v="0"/>
    <n v="0"/>
    <n v="0"/>
    <n v="0"/>
    <n v="0"/>
    <n v="0"/>
    <n v="0"/>
    <n v="0"/>
    <n v="12220.9"/>
    <n v="179.1"/>
    <n v="0"/>
    <n v="0"/>
    <n v="0"/>
    <n v="0"/>
    <n v="0"/>
    <n v="0"/>
    <n v="0"/>
    <n v="0"/>
    <n v="0"/>
    <n v="0"/>
    <x v="0"/>
    <x v="14"/>
    <x v="14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3. ATENCION DE LA EMERGENCIA Y URGENCIA ESPECIALIZADA"/>
    <s v="20. SALUD"/>
    <s v="044. SALUD INDIVIDUAL"/>
    <s v="0097. ATENCION MEDICA ESPECIALIZADA"/>
    <s v="00001"/>
    <s v="0188299. ATENCION DE LA EMERGENCIA Y URGENCIA ESPECIALIZADA"/>
    <s v="00006 - ATENCION"/>
    <n v="25000"/>
    <n v="12500"/>
    <n v="7470"/>
    <n v="7470"/>
    <x v="2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3733"/>
    <n v="0"/>
    <n v="3733"/>
    <n v="3733"/>
    <n v="3733"/>
    <n v="3733"/>
    <n v="0"/>
    <n v="0"/>
    <n v="0"/>
    <n v="0"/>
    <n v="0"/>
    <n v="0"/>
    <n v="0"/>
    <n v="0"/>
    <n v="0"/>
    <n v="0"/>
    <n v="0"/>
    <n v="3733"/>
    <n v="0"/>
    <n v="0"/>
    <n v="0"/>
    <n v="0"/>
    <n v="0"/>
    <n v="0"/>
    <n v="0"/>
    <n v="0"/>
    <n v="0"/>
    <n v="0"/>
    <n v="0"/>
    <n v="3146.83"/>
    <n v="586.16999999999996"/>
    <n v="0"/>
    <n v="0"/>
    <n v="0"/>
    <n v="0"/>
    <n v="0"/>
    <n v="0"/>
    <n v="0"/>
    <n v="0"/>
    <n v="0"/>
    <n v="0"/>
    <n v="3146.83"/>
    <n v="586.16999999999996"/>
    <n v="0"/>
    <n v="0"/>
    <n v="0"/>
    <n v="0"/>
    <n v="0"/>
    <n v="0"/>
    <n v="0"/>
    <n v="0"/>
    <n v="0"/>
    <n v="0"/>
    <x v="0"/>
    <x v="14"/>
    <x v="14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4. ATENCION DE LA EMERGENCIA DE CUIDADOS INTENSIVOS"/>
    <s v="20. SALUD"/>
    <s v="044. SALUD INDIVIDUAL"/>
    <s v="0097. ATENCION MEDICA ESPECIALIZADA"/>
    <s v="00001"/>
    <s v="0188300. ATENCION DE LA EMERGENCIA DE CUIDADOS INTENSIVOS"/>
    <s v="00006 - ATENCION"/>
    <n v="400"/>
    <n v="200"/>
    <n v="128"/>
    <n v="128"/>
    <x v="2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6000"/>
    <n v="0"/>
    <n v="6000"/>
    <n v="6000"/>
    <n v="6000"/>
    <n v="6000"/>
    <n v="0"/>
    <n v="0"/>
    <n v="0"/>
    <n v="0"/>
    <n v="0"/>
    <n v="0"/>
    <n v="0"/>
    <n v="0"/>
    <n v="0"/>
    <n v="0"/>
    <n v="0"/>
    <n v="6000"/>
    <n v="0"/>
    <n v="0"/>
    <n v="0"/>
    <n v="0"/>
    <n v="0"/>
    <n v="0"/>
    <n v="0"/>
    <n v="0"/>
    <n v="0"/>
    <n v="0"/>
    <n v="0"/>
    <n v="5296.38"/>
    <n v="703.62"/>
    <n v="0"/>
    <n v="0"/>
    <n v="0"/>
    <n v="0"/>
    <n v="0"/>
    <n v="0"/>
    <n v="0"/>
    <n v="0"/>
    <n v="0"/>
    <n v="0"/>
    <n v="5296.38"/>
    <n v="703.62"/>
    <n v="0"/>
    <n v="0"/>
    <n v="0"/>
    <n v="0"/>
    <n v="0"/>
    <n v="0"/>
    <n v="0"/>
    <n v="0"/>
    <n v="0"/>
    <n v="0"/>
    <x v="0"/>
    <x v="14"/>
    <x v="14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5. ATENCION DE LA EMERGENCIA QUIRURGICA"/>
    <s v="20. SALUD"/>
    <s v="044. SALUD INDIVIDUAL"/>
    <s v="0097. ATENCION MEDICA ESPECIALIZADA"/>
    <s v="00001"/>
    <s v="0188301. ATENCION DE LA EMERGENCIA QUIRURGICA"/>
    <s v="00006 - ATENCION"/>
    <n v="3000"/>
    <n v="1500"/>
    <n v="1405"/>
    <n v="1405"/>
    <x v="3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11733"/>
    <n v="0"/>
    <n v="11733"/>
    <n v="11733"/>
    <n v="11733"/>
    <n v="11733"/>
    <n v="0"/>
    <n v="0"/>
    <n v="0"/>
    <n v="0"/>
    <n v="0"/>
    <n v="0"/>
    <n v="0"/>
    <n v="0"/>
    <n v="0"/>
    <n v="0"/>
    <n v="0"/>
    <n v="11733"/>
    <n v="0"/>
    <n v="0"/>
    <n v="0"/>
    <n v="0"/>
    <n v="0"/>
    <n v="0"/>
    <n v="0"/>
    <n v="0"/>
    <n v="0"/>
    <n v="0"/>
    <n v="0"/>
    <n v="11668.52"/>
    <n v="64.48"/>
    <n v="0"/>
    <n v="0"/>
    <n v="0"/>
    <n v="0"/>
    <n v="0"/>
    <n v="0"/>
    <n v="0"/>
    <n v="0"/>
    <n v="0"/>
    <n v="0"/>
    <n v="11668.52"/>
    <n v="64.48"/>
    <n v="0"/>
    <n v="0"/>
    <n v="0"/>
    <n v="0"/>
    <n v="0"/>
    <n v="0"/>
    <n v="0"/>
    <n v="0"/>
    <n v="0"/>
    <n v="0"/>
    <x v="0"/>
    <x v="14"/>
    <x v="14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0"/>
    <s v=" ."/>
    <s v="3000688."/>
    <s v="5.ACTIVIDAD"/>
    <s v="5004449. CAPACITACION EN MEDICINA DE REHABILITACION"/>
    <s v="20. SALUD"/>
    <s v="044. SALUD INDIVIDUAL"/>
    <s v="0097. ATENCION MEDICA ESPECIALIZADA"/>
    <s v="00001"/>
    <s v="0136018. CAPACITACION EN MEDICINA DE REHABILITACION"/>
    <s v="00088 - PERSONA CAPACITADA"/>
    <n v="60"/>
    <n v="30"/>
    <n v="0"/>
    <n v="0"/>
    <x v="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1200"/>
    <n v="0"/>
    <n v="1200"/>
    <n v="1200"/>
    <n v="1200"/>
    <n v="1200"/>
    <n v="0"/>
    <n v="0"/>
    <n v="0"/>
    <n v="0"/>
    <n v="0"/>
    <n v="0"/>
    <n v="0"/>
    <n v="0"/>
    <n v="0"/>
    <n v="0"/>
    <n v="0"/>
    <n v="1200"/>
    <n v="0"/>
    <n v="0"/>
    <n v="0"/>
    <n v="0"/>
    <n v="0"/>
    <n v="0"/>
    <n v="0"/>
    <n v="0"/>
    <n v="0"/>
    <n v="0"/>
    <n v="0"/>
    <n v="1062.6600000000001"/>
    <n v="137.34"/>
    <n v="0"/>
    <n v="0"/>
    <n v="0"/>
    <n v="0"/>
    <n v="0"/>
    <n v="0"/>
    <n v="0"/>
    <n v="0"/>
    <n v="0"/>
    <n v="0"/>
    <n v="1062.6600000000001"/>
    <n v="137.34"/>
    <n v="0"/>
    <n v="0"/>
    <n v="0"/>
    <n v="0"/>
    <n v="0"/>
    <n v="0"/>
    <n v="0"/>
    <n v="0"/>
    <n v="0"/>
    <n v="0"/>
    <x v="0"/>
    <x v="14"/>
    <x v="14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698."/>
    <s v="5.ACTIVIDAD"/>
    <s v="5005188. TAMIZAJE DE PERSONAS CON TRASTORNOS MENTALES Y PROBLEMAS PSICOSOCIALES"/>
    <s v="20. SALUD"/>
    <s v="044. SALUD INDIVIDUAL"/>
    <s v="0096. ATENCION MEDICA BASICA"/>
    <s v="00001"/>
    <s v="0136780. TAMIZAJE DE PERSONAS CON TRASTORNOS MENTALES Y PROBLEMAS PSICOSOCIALES"/>
    <s v="00438 - PULGADAS"/>
    <n v="310"/>
    <n v="155"/>
    <n v="273"/>
    <n v="273"/>
    <x v="31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2000"/>
    <n v="0"/>
    <n v="2000"/>
    <n v="2000"/>
    <n v="2000"/>
    <n v="2000"/>
    <n v="0"/>
    <n v="0"/>
    <n v="0"/>
    <n v="0"/>
    <n v="0"/>
    <n v="0"/>
    <n v="0"/>
    <n v="0"/>
    <n v="0"/>
    <n v="0"/>
    <n v="0"/>
    <n v="2000"/>
    <n v="0"/>
    <n v="0"/>
    <n v="0"/>
    <n v="0"/>
    <n v="0"/>
    <n v="0"/>
    <n v="0"/>
    <n v="0"/>
    <n v="0"/>
    <n v="0"/>
    <n v="0"/>
    <n v="1873.42"/>
    <n v="126.58"/>
    <n v="0"/>
    <n v="0"/>
    <n v="0"/>
    <n v="0"/>
    <n v="0"/>
    <n v="0"/>
    <n v="0"/>
    <n v="0"/>
    <n v="0"/>
    <n v="0"/>
    <n v="1873.42"/>
    <n v="126.58"/>
    <n v="0"/>
    <n v="0"/>
    <n v="0"/>
    <n v="0"/>
    <n v="0"/>
    <n v="0"/>
    <n v="0"/>
    <n v="0"/>
    <n v="0"/>
    <n v="0"/>
    <x v="0"/>
    <x v="14"/>
    <x v="14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1. PLANEAMIENTO Y PRESUPUESTO"/>
    <s v="20. SALUD"/>
    <s v="004. PLANEAMIENTO GUBERNAMENTAL"/>
    <s v="0005. PLANEAMIENTO INSTITUCIONAL"/>
    <s v="00001"/>
    <s v="0001179. PLANEAMIENTO Y PRESUPUESTO"/>
    <s v="00001 - ACCION"/>
    <n v="12"/>
    <n v="6"/>
    <n v="5"/>
    <n v="5"/>
    <x v="1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1600"/>
    <n v="0"/>
    <n v="1600"/>
    <n v="1600"/>
    <n v="1600"/>
    <n v="1600"/>
    <n v="0"/>
    <n v="0"/>
    <n v="0"/>
    <n v="0"/>
    <n v="0"/>
    <n v="0"/>
    <n v="0"/>
    <n v="0"/>
    <n v="0"/>
    <n v="0"/>
    <n v="0"/>
    <n v="1600"/>
    <n v="0"/>
    <n v="0"/>
    <n v="0"/>
    <n v="0"/>
    <n v="0"/>
    <n v="0"/>
    <n v="0"/>
    <n v="0"/>
    <n v="0"/>
    <n v="0"/>
    <n v="0"/>
    <n v="1200"/>
    <n v="400"/>
    <n v="0"/>
    <n v="0"/>
    <n v="0"/>
    <n v="0"/>
    <n v="0"/>
    <n v="0"/>
    <n v="0"/>
    <n v="0"/>
    <n v="0"/>
    <n v="0"/>
    <n v="1200"/>
    <n v="400"/>
    <n v="0"/>
    <n v="0"/>
    <n v="0"/>
    <n v="0"/>
    <n v="0"/>
    <n v="0"/>
    <n v="0"/>
    <n v="0"/>
    <n v="0"/>
    <n v="0"/>
    <x v="0"/>
    <x v="14"/>
    <x v="14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54800"/>
    <n v="0"/>
    <n v="54800"/>
    <n v="54800"/>
    <n v="54800"/>
    <n v="54800"/>
    <n v="0"/>
    <n v="0"/>
    <n v="0"/>
    <n v="0"/>
    <n v="0"/>
    <n v="0"/>
    <n v="0"/>
    <n v="0"/>
    <n v="0"/>
    <n v="0"/>
    <n v="0"/>
    <n v="54800"/>
    <n v="0"/>
    <n v="0"/>
    <n v="0"/>
    <n v="0"/>
    <n v="0"/>
    <n v="0"/>
    <n v="0"/>
    <n v="0"/>
    <n v="0"/>
    <n v="0"/>
    <n v="0"/>
    <n v="53866"/>
    <n v="934"/>
    <n v="0"/>
    <n v="0"/>
    <n v="0"/>
    <n v="0"/>
    <n v="0"/>
    <n v="0"/>
    <n v="0"/>
    <n v="0"/>
    <n v="0"/>
    <n v="0"/>
    <n v="53866"/>
    <n v="934"/>
    <n v="0"/>
    <n v="0"/>
    <n v="0"/>
    <n v="0"/>
    <n v="0"/>
    <n v="0"/>
    <n v="0"/>
    <n v="0"/>
    <n v="0"/>
    <n v="0"/>
    <x v="0"/>
    <x v="14"/>
    <x v="14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5. GESTION DE RECURSOS HUMANOS"/>
    <s v="20. SALUD"/>
    <s v="006. GESTION"/>
    <s v="0011. PREPARACION Y PERFECCIONAMIENTO DE RECURSOS HUMANOS"/>
    <s v="00001"/>
    <s v="0053571. GESTION DE RECURSOS HUMANOS"/>
    <s v="00001 - ACCION"/>
    <n v="2426"/>
    <n v="1213"/>
    <n v="124"/>
    <n v="124"/>
    <x v="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5200"/>
    <n v="0"/>
    <n v="5200"/>
    <n v="5200"/>
    <n v="5200"/>
    <n v="5200"/>
    <n v="0"/>
    <n v="0"/>
    <n v="0"/>
    <n v="0"/>
    <n v="0"/>
    <n v="0"/>
    <n v="0"/>
    <n v="0"/>
    <n v="0"/>
    <n v="0"/>
    <n v="0"/>
    <n v="5200"/>
    <n v="0"/>
    <n v="0"/>
    <n v="0"/>
    <n v="0"/>
    <n v="0"/>
    <n v="0"/>
    <n v="0"/>
    <n v="0"/>
    <n v="0"/>
    <n v="0"/>
    <n v="0"/>
    <n v="5080"/>
    <n v="120"/>
    <n v="0"/>
    <n v="0"/>
    <n v="0"/>
    <n v="0"/>
    <n v="0"/>
    <n v="0"/>
    <n v="0"/>
    <n v="0"/>
    <n v="0"/>
    <n v="0"/>
    <n v="5080"/>
    <n v="120"/>
    <n v="0"/>
    <n v="0"/>
    <n v="0"/>
    <n v="0"/>
    <n v="0"/>
    <n v="0"/>
    <n v="0"/>
    <n v="0"/>
    <n v="0"/>
    <n v="0"/>
    <x v="0"/>
    <x v="14"/>
    <x v="14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6. ACCIONES DE CONTROL Y AUDITORIA"/>
    <s v="20. SALUD"/>
    <s v="006. GESTION"/>
    <s v="0012. CONTROL INTERNO"/>
    <s v="00001"/>
    <s v="0023404. ACCIONES DE CONTROL Y AUDITORIA"/>
    <s v="00001 - ACCION"/>
    <n v="54"/>
    <n v="27"/>
    <n v="13"/>
    <n v="13"/>
    <x v="4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800"/>
    <n v="0"/>
    <n v="800"/>
    <n v="800"/>
    <n v="800"/>
    <n v="800"/>
    <n v="0"/>
    <n v="0"/>
    <n v="0"/>
    <n v="0"/>
    <n v="0"/>
    <n v="0"/>
    <n v="0"/>
    <n v="0"/>
    <n v="0"/>
    <n v="0"/>
    <n v="0"/>
    <n v="800"/>
    <n v="0"/>
    <n v="0"/>
    <n v="0"/>
    <n v="0"/>
    <n v="0"/>
    <n v="0"/>
    <n v="0"/>
    <n v="0"/>
    <n v="0"/>
    <n v="0"/>
    <n v="0"/>
    <n v="400"/>
    <n v="400"/>
    <n v="0"/>
    <n v="0"/>
    <n v="0"/>
    <n v="0"/>
    <n v="0"/>
    <n v="0"/>
    <n v="0"/>
    <n v="0"/>
    <n v="0"/>
    <n v="0"/>
    <n v="400"/>
    <n v="400"/>
    <n v="0"/>
    <n v="0"/>
    <n v="0"/>
    <n v="0"/>
    <n v="0"/>
    <n v="0"/>
    <n v="0"/>
    <n v="0"/>
    <n v="0"/>
    <n v="0"/>
    <x v="0"/>
    <x v="14"/>
    <x v="14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377. MEJORAMIENTO DE LA OFERTA DE LOS SERVICIOS DE SALUD"/>
    <s v="20. SALUD"/>
    <s v="044. SALUD INDIVIDUAL"/>
    <s v="0097. ATENCION MEDICA ESPECIALIZADA"/>
    <s v="00001"/>
    <s v="0006831. MEJORAR LA ATENCION A LA POBLACION"/>
    <s v="00006 - ATENCION"/>
    <n v="2400"/>
    <n v="1200"/>
    <n v="940"/>
    <n v="940"/>
    <x v="32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4400"/>
    <n v="0"/>
    <n v="4400"/>
    <n v="4400"/>
    <n v="4400"/>
    <n v="4400"/>
    <n v="0"/>
    <n v="0"/>
    <n v="0"/>
    <n v="0"/>
    <n v="0"/>
    <n v="0"/>
    <n v="0"/>
    <n v="0"/>
    <n v="0"/>
    <n v="0"/>
    <n v="0"/>
    <n v="4400"/>
    <n v="0"/>
    <n v="0"/>
    <n v="0"/>
    <n v="0"/>
    <n v="0"/>
    <n v="0"/>
    <n v="0"/>
    <n v="0"/>
    <n v="0"/>
    <n v="0"/>
    <n v="0"/>
    <n v="4362.42"/>
    <n v="37.58"/>
    <n v="0"/>
    <n v="0"/>
    <n v="0"/>
    <n v="0"/>
    <n v="0"/>
    <n v="0"/>
    <n v="0"/>
    <n v="0"/>
    <n v="0"/>
    <n v="0"/>
    <n v="4362.42"/>
    <n v="37.58"/>
    <n v="0"/>
    <n v="0"/>
    <n v="0"/>
    <n v="0"/>
    <n v="0"/>
    <n v="0"/>
    <n v="0"/>
    <n v="0"/>
    <n v="0"/>
    <n v="0"/>
    <x v="0"/>
    <x v="14"/>
    <x v="14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00. ATENCION BASICA DE SALUD"/>
    <s v="20. SALUD"/>
    <s v="044. SALUD INDIVIDUAL"/>
    <s v="0096. ATENCION MEDICA BASICA"/>
    <s v="00001"/>
    <s v="0000251. ATENCION BASICA"/>
    <s v="00006 - ATENCION"/>
    <n v="200000"/>
    <n v="100000"/>
    <n v="78000"/>
    <n v="78000"/>
    <x v="3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27200"/>
    <n v="0"/>
    <n v="27200"/>
    <n v="27200"/>
    <n v="27200"/>
    <n v="27200"/>
    <n v="0"/>
    <n v="0"/>
    <n v="0"/>
    <n v="0"/>
    <n v="0"/>
    <n v="0"/>
    <n v="0"/>
    <n v="0"/>
    <n v="0"/>
    <n v="0"/>
    <n v="0"/>
    <n v="27200"/>
    <n v="0"/>
    <n v="0"/>
    <n v="0"/>
    <n v="0"/>
    <n v="0"/>
    <n v="0"/>
    <n v="0"/>
    <n v="0"/>
    <n v="0"/>
    <n v="0"/>
    <n v="0"/>
    <n v="26427.65"/>
    <n v="772.35"/>
    <n v="0"/>
    <n v="0"/>
    <n v="0"/>
    <n v="0"/>
    <n v="0"/>
    <n v="0"/>
    <n v="0"/>
    <n v="0"/>
    <n v="0"/>
    <n v="0"/>
    <n v="26427.65"/>
    <n v="772.35"/>
    <n v="0"/>
    <n v="0"/>
    <n v="0"/>
    <n v="0"/>
    <n v="0"/>
    <n v="0"/>
    <n v="0"/>
    <n v="0"/>
    <n v="0"/>
    <n v="0"/>
    <x v="0"/>
    <x v="14"/>
    <x v="14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10. ATENCION ESPECIALIZADA DE LA SALUD"/>
    <s v="20. SALUD"/>
    <s v="044. SALUD INDIVIDUAL"/>
    <s v="0097. ATENCION MEDICA ESPECIALIZADA"/>
    <s v="00001"/>
    <s v="0023484. ATENCION MEDICA ESPECIALIZADA"/>
    <s v="00006 - ATENCION"/>
    <n v="150000"/>
    <n v="75000"/>
    <n v="26347"/>
    <n v="26347"/>
    <x v="34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30400"/>
    <n v="0"/>
    <n v="30400"/>
    <n v="30400"/>
    <n v="30400"/>
    <n v="30400"/>
    <n v="0"/>
    <n v="0"/>
    <n v="0"/>
    <n v="0"/>
    <n v="0"/>
    <n v="0"/>
    <n v="0"/>
    <n v="0"/>
    <n v="0"/>
    <n v="0"/>
    <n v="0"/>
    <n v="30400"/>
    <n v="0"/>
    <n v="0"/>
    <n v="0"/>
    <n v="0"/>
    <n v="0"/>
    <n v="0"/>
    <n v="0"/>
    <n v="0"/>
    <n v="0"/>
    <n v="0"/>
    <n v="0"/>
    <n v="28854.33"/>
    <n v="1545.67"/>
    <n v="0"/>
    <n v="0"/>
    <n v="0"/>
    <n v="0"/>
    <n v="0"/>
    <n v="0"/>
    <n v="0"/>
    <n v="0"/>
    <n v="0"/>
    <n v="0"/>
    <n v="28854.33"/>
    <n v="1545.67"/>
    <n v="0"/>
    <n v="0"/>
    <n v="0"/>
    <n v="0"/>
    <n v="0"/>
    <n v="0"/>
    <n v="0"/>
    <n v="0"/>
    <n v="0"/>
    <n v="0"/>
    <x v="0"/>
    <x v="14"/>
    <x v="14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2. ATENCION EN CONSULTAS EXTERNAS"/>
    <s v="20. SALUD"/>
    <s v="044. SALUD INDIVIDUAL"/>
    <s v="0097. ATENCION MEDICA ESPECIALIZADA"/>
    <s v="00001"/>
    <s v="0000266. ATENCION EN CONSULTAS EXTERNAS"/>
    <s v="00006 - ATENCION"/>
    <n v="150000"/>
    <n v="75000"/>
    <n v="31583"/>
    <n v="31583"/>
    <x v="35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2800"/>
    <n v="0"/>
    <n v="2800"/>
    <n v="2800"/>
    <n v="2800"/>
    <n v="2800"/>
    <n v="0"/>
    <n v="0"/>
    <n v="0"/>
    <n v="0"/>
    <n v="0"/>
    <n v="0"/>
    <n v="0"/>
    <n v="0"/>
    <n v="0"/>
    <n v="0"/>
    <n v="0"/>
    <n v="2800"/>
    <n v="0"/>
    <n v="0"/>
    <n v="0"/>
    <n v="0"/>
    <n v="0"/>
    <n v="0"/>
    <n v="0"/>
    <n v="0"/>
    <n v="0"/>
    <n v="0"/>
    <n v="0"/>
    <n v="2484.09"/>
    <n v="315.91000000000003"/>
    <n v="0"/>
    <n v="0"/>
    <n v="0"/>
    <n v="0"/>
    <n v="0"/>
    <n v="0"/>
    <n v="0"/>
    <n v="0"/>
    <n v="0"/>
    <n v="0"/>
    <n v="2484.09"/>
    <n v="315.91000000000003"/>
    <n v="0"/>
    <n v="0"/>
    <n v="0"/>
    <n v="0"/>
    <n v="0"/>
    <n v="0"/>
    <n v="0"/>
    <n v="0"/>
    <n v="0"/>
    <n v="0"/>
    <x v="0"/>
    <x v="14"/>
    <x v="14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17999"/>
    <n v="0"/>
    <n v="17999"/>
    <n v="17999"/>
    <n v="17999"/>
    <n v="17999"/>
    <n v="0"/>
    <n v="0"/>
    <n v="0"/>
    <n v="0"/>
    <n v="0"/>
    <n v="0"/>
    <n v="0"/>
    <n v="0"/>
    <n v="0"/>
    <n v="0"/>
    <n v="0"/>
    <n v="17999"/>
    <n v="0"/>
    <n v="0"/>
    <n v="0"/>
    <n v="0"/>
    <n v="0"/>
    <n v="0"/>
    <n v="0"/>
    <n v="0"/>
    <n v="0"/>
    <n v="0"/>
    <n v="0"/>
    <n v="17530.099999999999"/>
    <n v="468.9"/>
    <n v="0"/>
    <n v="0"/>
    <n v="0"/>
    <n v="0"/>
    <n v="0"/>
    <n v="0"/>
    <n v="0"/>
    <n v="0"/>
    <n v="0"/>
    <n v="0"/>
    <n v="17530.099999999999"/>
    <n v="468.9"/>
    <n v="0"/>
    <n v="0"/>
    <n v="0"/>
    <n v="0"/>
    <n v="0"/>
    <n v="0"/>
    <n v="0"/>
    <n v="0"/>
    <n v="0"/>
    <n v="0"/>
    <x v="0"/>
    <x v="14"/>
    <x v="14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4. INTERVENCIONES QUIRURGICAS"/>
    <s v="20. SALUD"/>
    <s v="044. SALUD INDIVIDUAL"/>
    <s v="0097. ATENCION MEDICA ESPECIALIZADA"/>
    <s v="00001"/>
    <s v="0000257. ATENCION DE INTERVENCIONES QUIRURGICAS"/>
    <s v="00006 - ATENCION"/>
    <n v="20000"/>
    <n v="10000"/>
    <n v="8000"/>
    <n v="8000"/>
    <x v="37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3200"/>
    <n v="0"/>
    <n v="3200"/>
    <n v="3200"/>
    <n v="3200"/>
    <n v="3200"/>
    <n v="0"/>
    <n v="0"/>
    <n v="0"/>
    <n v="0"/>
    <n v="0"/>
    <n v="0"/>
    <n v="0"/>
    <n v="0"/>
    <n v="0"/>
    <n v="0"/>
    <n v="0"/>
    <n v="3200"/>
    <n v="0"/>
    <n v="0"/>
    <n v="0"/>
    <n v="0"/>
    <n v="0"/>
    <n v="0"/>
    <n v="0"/>
    <n v="0"/>
    <n v="0"/>
    <n v="0"/>
    <n v="0"/>
    <n v="1941.57"/>
    <n v="1258.43"/>
    <n v="0"/>
    <n v="0"/>
    <n v="0"/>
    <n v="0"/>
    <n v="0"/>
    <n v="0"/>
    <n v="0"/>
    <n v="0"/>
    <n v="0"/>
    <n v="0"/>
    <n v="1941.57"/>
    <n v="1258.43"/>
    <n v="0"/>
    <n v="0"/>
    <n v="0"/>
    <n v="0"/>
    <n v="0"/>
    <n v="0"/>
    <n v="0"/>
    <n v="0"/>
    <n v="0"/>
    <n v="0"/>
    <x v="0"/>
    <x v="14"/>
    <x v="14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6. OTRAS ATENCIONES DE SALUD ESPECIALIZADAS"/>
    <s v="20. SALUD"/>
    <s v="044. SALUD INDIVIDUAL"/>
    <s v="0097. ATENCION MEDICA ESPECIALIZADA"/>
    <s v="00001"/>
    <s v="0023484. ATENCION MEDICA ESPECIALIZADA"/>
    <s v="00006 - ATENCION"/>
    <n v="25000"/>
    <n v="12500"/>
    <n v="11000"/>
    <n v="11000"/>
    <x v="3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3200"/>
    <n v="0"/>
    <n v="3200"/>
    <n v="3200"/>
    <n v="3200"/>
    <n v="3200"/>
    <n v="0"/>
    <n v="0"/>
    <n v="0"/>
    <n v="0"/>
    <n v="0"/>
    <n v="0"/>
    <n v="0"/>
    <n v="0"/>
    <n v="0"/>
    <n v="0"/>
    <n v="0"/>
    <n v="3200"/>
    <n v="0"/>
    <n v="0"/>
    <n v="0"/>
    <n v="0"/>
    <n v="0"/>
    <n v="0"/>
    <n v="0"/>
    <n v="0"/>
    <n v="0"/>
    <n v="0"/>
    <n v="0"/>
    <n v="0"/>
    <n v="3200"/>
    <n v="0"/>
    <n v="0"/>
    <n v="0"/>
    <n v="0"/>
    <n v="0"/>
    <n v="0"/>
    <n v="0"/>
    <n v="0"/>
    <n v="0"/>
    <n v="0"/>
    <n v="0"/>
    <n v="3200"/>
    <n v="0"/>
    <n v="0"/>
    <n v="0"/>
    <n v="0"/>
    <n v="0"/>
    <n v="0"/>
    <n v="0"/>
    <n v="0"/>
    <n v="0"/>
    <n v="0"/>
    <x v="0"/>
    <x v="14"/>
    <x v="14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9. COMERCIALIZACION DE MEDICAMENTOS E INSUMOS"/>
    <s v="20. SALUD"/>
    <s v="044. SALUD INDIVIDUAL"/>
    <s v="0098. SERVICIOS DE DIAGNOSTICO Y TRATAMIENTO"/>
    <s v="00001"/>
    <s v="0001468. VENTA DE MEDICINAS"/>
    <s v="00006 - ATENCION"/>
    <n v="500000"/>
    <n v="250000"/>
    <n v="225000"/>
    <n v="225000"/>
    <x v="3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5733"/>
    <n v="0"/>
    <n v="5733"/>
    <n v="5733"/>
    <n v="5733"/>
    <n v="5733"/>
    <n v="0"/>
    <n v="0"/>
    <n v="0"/>
    <n v="0"/>
    <n v="0"/>
    <n v="0"/>
    <n v="0"/>
    <n v="0"/>
    <n v="0"/>
    <n v="0"/>
    <n v="0"/>
    <n v="5733"/>
    <n v="0"/>
    <n v="0"/>
    <n v="0"/>
    <n v="0"/>
    <n v="0"/>
    <n v="0"/>
    <n v="0"/>
    <n v="0"/>
    <n v="0"/>
    <n v="0"/>
    <n v="0"/>
    <n v="5477.85"/>
    <n v="255.15"/>
    <n v="0"/>
    <n v="0"/>
    <n v="0"/>
    <n v="0"/>
    <n v="0"/>
    <n v="0"/>
    <n v="0"/>
    <n v="0"/>
    <n v="0"/>
    <n v="0"/>
    <n v="5477.85"/>
    <n v="255.15"/>
    <n v="0"/>
    <n v="0"/>
    <n v="0"/>
    <n v="0"/>
    <n v="0"/>
    <n v="0"/>
    <n v="0"/>
    <n v="0"/>
    <n v="0"/>
    <n v="0"/>
    <x v="0"/>
    <x v="14"/>
    <x v="14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2197. PRESTACIONES ADMINISTRATIVAS SUBSIDIADAS/NO TARIFADO"/>
    <s v="20. SALUD"/>
    <s v="044. SALUD INDIVIDUAL"/>
    <s v="0097. ATENCION MEDICA ESPECIALIZADA"/>
    <s v="00001"/>
    <s v="0002088. SEGURO INTEGRAL DE SALUD"/>
    <s v="00006 - ATENCION"/>
    <n v="50000"/>
    <n v="25000"/>
    <n v="26500"/>
    <n v="26500"/>
    <x v="40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5600"/>
    <n v="0"/>
    <n v="5600"/>
    <n v="5600"/>
    <n v="5600"/>
    <n v="5600"/>
    <n v="0"/>
    <n v="0"/>
    <n v="0"/>
    <n v="0"/>
    <n v="0"/>
    <n v="0"/>
    <n v="0"/>
    <n v="0"/>
    <n v="0"/>
    <n v="0"/>
    <n v="0"/>
    <n v="5600"/>
    <n v="0"/>
    <n v="0"/>
    <n v="0"/>
    <n v="0"/>
    <n v="0"/>
    <n v="0"/>
    <n v="0"/>
    <n v="0"/>
    <n v="0"/>
    <n v="0"/>
    <n v="0"/>
    <n v="5154.54"/>
    <n v="445.46"/>
    <n v="0"/>
    <n v="0"/>
    <n v="0"/>
    <n v="0"/>
    <n v="0"/>
    <n v="0"/>
    <n v="0"/>
    <n v="0"/>
    <n v="0"/>
    <n v="0"/>
    <n v="5154.54"/>
    <n v="445.46"/>
    <n v="0"/>
    <n v="0"/>
    <n v="0"/>
    <n v="0"/>
    <n v="0"/>
    <n v="0"/>
    <n v="0"/>
    <n v="0"/>
    <n v="0"/>
    <n v="0"/>
    <x v="0"/>
    <x v="14"/>
    <x v="14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1. ESCOLARIDAD, AGUINALDOS Y GRATIFICACIONES"/>
    <s v=" 3. BONIFICACION POR ESCOLARIDAD"/>
    <s v="0 . RECURSOS ORDINARIOS"/>
    <n v="8800"/>
    <n v="0"/>
    <n v="8800"/>
    <n v="8800"/>
    <n v="8800"/>
    <n v="8800"/>
    <n v="0"/>
    <n v="0"/>
    <n v="0"/>
    <n v="0"/>
    <n v="0"/>
    <n v="0"/>
    <n v="0"/>
    <n v="0"/>
    <n v="0"/>
    <n v="0"/>
    <n v="0"/>
    <n v="8800"/>
    <n v="0"/>
    <n v="0"/>
    <n v="0"/>
    <n v="0"/>
    <n v="0"/>
    <n v="0"/>
    <n v="0"/>
    <n v="0"/>
    <n v="0"/>
    <n v="0"/>
    <n v="0"/>
    <n v="8324.24"/>
    <n v="475.76"/>
    <n v="0"/>
    <n v="0"/>
    <n v="0"/>
    <n v="0"/>
    <n v="0"/>
    <n v="0"/>
    <n v="0"/>
    <n v="0"/>
    <n v="0"/>
    <n v="0"/>
    <n v="8324.24"/>
    <n v="475.76"/>
    <n v="0"/>
    <n v="0"/>
    <n v="0"/>
    <n v="0"/>
    <n v="0"/>
    <n v="0"/>
    <n v="0"/>
    <n v="0"/>
    <n v="0"/>
    <n v="0"/>
    <x v="0"/>
    <x v="14"/>
    <x v="14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5. GESTION DE RECURSOS HUMANOS"/>
    <s v="20. SALUD"/>
    <s v="006. GESTION"/>
    <s v="0011. PREPARACION Y PERFECCIONAMIENTO DE RECURSOS HUMANOS"/>
    <s v="00001"/>
    <s v="0053571. GESTION DE RECURSOS HUMANOS"/>
    <s v="00001 - ACCION"/>
    <n v="2426"/>
    <n v="1213"/>
    <n v="124"/>
    <n v="124"/>
    <x v="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2. COMPENSACION POR TIEMPO DE SERVICIOS"/>
    <s v=" 1. COMPENSACION POR TIEMPO DE SERVICIOS (CTS)"/>
    <s v="0 . RECURSOS ORDINARIOS"/>
    <n v="0"/>
    <n v="5511"/>
    <n v="5511"/>
    <n v="5511"/>
    <n v="5511"/>
    <n v="0"/>
    <n v="0"/>
    <n v="0"/>
    <n v="0"/>
    <n v="0"/>
    <n v="5511"/>
    <n v="0"/>
    <n v="0"/>
    <n v="0"/>
    <n v="0"/>
    <n v="0"/>
    <n v="0"/>
    <n v="0"/>
    <n v="0"/>
    <n v="0"/>
    <n v="0"/>
    <n v="0"/>
    <n v="5511"/>
    <n v="0"/>
    <n v="0"/>
    <n v="0"/>
    <n v="0"/>
    <n v="0"/>
    <n v="0"/>
    <n v="0"/>
    <n v="0"/>
    <n v="0"/>
    <n v="0"/>
    <n v="0"/>
    <n v="0"/>
    <n v="55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5"/>
    <x v="15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5. GESTION DE RECURSOS HUMANOS"/>
    <s v="20. SALUD"/>
    <s v="006. GESTION"/>
    <s v="0011. PREPARACION Y PERFECCIONAMIENTO DE RECURSOS HUMANOS"/>
    <s v="00001"/>
    <s v="0053571. GESTION DE RECURSOS HUMANOS"/>
    <s v="00001 - ACCION"/>
    <n v="2426"/>
    <n v="1213"/>
    <n v="124"/>
    <n v="124"/>
    <x v="3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9. GASTOS VARIABLES Y OCASIONALES"/>
    <s v=" 3. OTROS GASTOS VARIABLES Y OCASIONALES"/>
    <s v=" 1. ASIGNACION POR CUMPLIR 25 O 30 AÑOS"/>
    <s v="0 . RECURSOS ORDINARIOS"/>
    <n v="0"/>
    <n v="61421"/>
    <n v="61421"/>
    <n v="61421"/>
    <n v="61421"/>
    <n v="0"/>
    <n v="0"/>
    <n v="0"/>
    <n v="0"/>
    <n v="0"/>
    <n v="61421"/>
    <n v="0"/>
    <n v="0"/>
    <n v="0"/>
    <n v="0"/>
    <n v="0"/>
    <n v="0"/>
    <n v="0"/>
    <n v="0"/>
    <n v="0"/>
    <n v="0"/>
    <n v="0"/>
    <n v="61421"/>
    <n v="0"/>
    <n v="0"/>
    <n v="0"/>
    <n v="0"/>
    <n v="0"/>
    <n v="0"/>
    <n v="0"/>
    <n v="0"/>
    <n v="0"/>
    <n v="0"/>
    <n v="0"/>
    <n v="0"/>
    <n v="60246.07"/>
    <n v="0"/>
    <n v="0"/>
    <n v="0"/>
    <n v="0"/>
    <n v="0"/>
    <n v="0"/>
    <n v="0"/>
    <n v="0"/>
    <n v="0"/>
    <n v="0"/>
    <n v="0"/>
    <n v="60246.07"/>
    <n v="0"/>
    <n v="0"/>
    <n v="0"/>
    <n v="0"/>
    <n v="0"/>
    <x v="0"/>
    <x v="16"/>
    <x v="16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315."/>
    <s v="5.ACTIVIDAD"/>
    <s v="5000031. BRINDAR ATENCION A OTRAS ENFERMEDADES PREVALENTES"/>
    <s v="20. SALUD"/>
    <s v="044. SALUD INDIVIDUAL"/>
    <s v="0096. ATENCION MEDICA BASICA"/>
    <s v="00001"/>
    <s v="0033315. ATENCION DE OTRAS ENFERMEDADES PREVALENTES"/>
    <s v="00016 - CASO TRATADO"/>
    <n v="440"/>
    <n v="220"/>
    <n v="198"/>
    <n v="198"/>
    <x v="6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2465"/>
    <n v="0"/>
    <n v="2465"/>
    <n v="2465"/>
    <n v="2465"/>
    <n v="886"/>
    <n v="0"/>
    <n v="886"/>
    <n v="196"/>
    <n v="195.62"/>
    <n v="0"/>
    <n v="0"/>
    <n v="0"/>
    <n v="0"/>
    <n v="0"/>
    <n v="0"/>
    <n v="0"/>
    <n v="886"/>
    <n v="0"/>
    <n v="886"/>
    <n v="196"/>
    <n v="195.62"/>
    <n v="0"/>
    <n v="0"/>
    <n v="0"/>
    <n v="0"/>
    <n v="0"/>
    <n v="0"/>
    <n v="0"/>
    <n v="0"/>
    <n v="886"/>
    <n v="886"/>
    <n v="196"/>
    <n v="0"/>
    <n v="195.62"/>
    <n v="0"/>
    <n v="0"/>
    <n v="0"/>
    <n v="0"/>
    <n v="0"/>
    <n v="0"/>
    <n v="0"/>
    <n v="886"/>
    <n v="886"/>
    <n v="196"/>
    <n v="0"/>
    <n v="195.62"/>
    <n v="0"/>
    <n v="0"/>
    <n v="0"/>
    <n v="0"/>
    <n v="0"/>
    <n v="0"/>
    <x v="0"/>
    <x v="17"/>
    <x v="1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00001."/>
    <s v="5.ACTIVIDAD"/>
    <s v="5004389. DESARROLLO DE NORMAS Y GUIAS TECNICAS EN SALUD MATERNO NEONATAL"/>
    <s v="20. SALUD"/>
    <s v="043. SALUD COLECTIVA"/>
    <s v="0093. REGULACION Y CONTROL SANITARIO"/>
    <s v="00001"/>
    <s v="0033287. DESARROLLO DE NORMAS Y GUIAS TECNICAS EN SALUD MATERNO NEONATAL"/>
    <s v="00080 - NORMA"/>
    <n v="2"/>
    <n v="1"/>
    <n v="0"/>
    <n v="0"/>
    <x v="7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2465"/>
    <n v="0"/>
    <n v="2465"/>
    <n v="2465"/>
    <n v="2465"/>
    <n v="0"/>
    <n v="0"/>
    <n v="0"/>
    <n v="1081.31"/>
    <n v="1209.31"/>
    <n v="0"/>
    <n v="0"/>
    <n v="0"/>
    <n v="0"/>
    <n v="0"/>
    <n v="0"/>
    <n v="0"/>
    <n v="0"/>
    <n v="0"/>
    <n v="0"/>
    <n v="1081.31"/>
    <n v="1209.31"/>
    <n v="0"/>
    <n v="0"/>
    <n v="0"/>
    <n v="0"/>
    <n v="0"/>
    <n v="0"/>
    <n v="0"/>
    <n v="0"/>
    <n v="0"/>
    <n v="0"/>
    <n v="0"/>
    <n v="1081.31"/>
    <n v="1209.31"/>
    <n v="0"/>
    <n v="0"/>
    <n v="0"/>
    <n v="0"/>
    <n v="0"/>
    <n v="0"/>
    <n v="0"/>
    <n v="0"/>
    <n v="0"/>
    <n v="0"/>
    <n v="1081.31"/>
    <n v="1209.31"/>
    <n v="0"/>
    <n v="0"/>
    <n v="0"/>
    <n v="0"/>
    <n v="0"/>
    <n v="0"/>
    <x v="0"/>
    <x v="17"/>
    <x v="1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00005."/>
    <s v="5.ACTIVIDAD"/>
    <s v="5000058. BRINDAR SERVICIOS DE SALUD PARA PREVENCION DEL EMBARAZO A ADOLESCENTES"/>
    <s v="20. SALUD"/>
    <s v="044. SALUD INDIVIDUAL"/>
    <s v="0096. ATENCION MEDICA BASICA"/>
    <s v="00001"/>
    <s v="0053220. ADOLESCENTES ACCEDEN A SERVICIOS DE SALUD PARA PREVENCION DEL EMBARAZO"/>
    <s v="00150 - ADOLESCENTE"/>
    <n v="200"/>
    <n v="100"/>
    <n v="0"/>
    <n v="0"/>
    <x v="8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2667"/>
    <n v="0"/>
    <n v="2667"/>
    <n v="2667"/>
    <n v="2667"/>
    <n v="196"/>
    <n v="0"/>
    <n v="196"/>
    <n v="886"/>
    <n v="729.78"/>
    <n v="196"/>
    <n v="0"/>
    <n v="0"/>
    <n v="0"/>
    <n v="0"/>
    <n v="0"/>
    <n v="0"/>
    <n v="196"/>
    <n v="0"/>
    <n v="196"/>
    <n v="886"/>
    <n v="729.78"/>
    <n v="196"/>
    <n v="0"/>
    <n v="0"/>
    <n v="0"/>
    <n v="0"/>
    <n v="0"/>
    <n v="0"/>
    <n v="0"/>
    <n v="196"/>
    <n v="196"/>
    <n v="886"/>
    <n v="0"/>
    <n v="729.78"/>
    <n v="196"/>
    <n v="0"/>
    <n v="0"/>
    <n v="0"/>
    <n v="0"/>
    <n v="0"/>
    <n v="0"/>
    <n v="196"/>
    <n v="196"/>
    <n v="886"/>
    <n v="0"/>
    <n v="729.78"/>
    <n v="196"/>
    <n v="0"/>
    <n v="0"/>
    <n v="0"/>
    <n v="0"/>
    <n v="0"/>
    <x v="0"/>
    <x v="17"/>
    <x v="1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172."/>
    <s v="5.ACTIVIDAD"/>
    <s v="5000037. BRINDAR ATENCION PRENATAL REENFOCADA"/>
    <s v="20. SALUD"/>
    <s v="044. SALUD INDIVIDUAL"/>
    <s v="0096. ATENCION MEDICA BASICA"/>
    <s v="00001"/>
    <s v="0033172. ATENCION PRENATAL REENFOCADA"/>
    <s v="00058 - GESTANTE CONTROLADA"/>
    <n v="3140"/>
    <n v="1570"/>
    <n v="1605"/>
    <n v="1605"/>
    <x v="9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3974"/>
    <n v="0"/>
    <n v="3974"/>
    <n v="3974"/>
    <n v="3974"/>
    <n v="2855"/>
    <n v="0"/>
    <n v="855"/>
    <n v="262"/>
    <n v="0"/>
    <n v="0"/>
    <n v="0"/>
    <n v="0"/>
    <n v="0"/>
    <n v="0"/>
    <n v="0"/>
    <n v="0"/>
    <n v="2855"/>
    <n v="0"/>
    <n v="855"/>
    <n v="262"/>
    <n v="0"/>
    <n v="0"/>
    <n v="0"/>
    <n v="0"/>
    <n v="0"/>
    <n v="0"/>
    <n v="0"/>
    <n v="0"/>
    <n v="0"/>
    <n v="2855"/>
    <n v="855"/>
    <n v="262"/>
    <n v="0"/>
    <n v="0"/>
    <n v="0"/>
    <n v="0"/>
    <n v="0"/>
    <n v="0"/>
    <n v="0"/>
    <n v="0"/>
    <n v="0"/>
    <n v="2855"/>
    <n v="855"/>
    <n v="262"/>
    <n v="0"/>
    <n v="0"/>
    <n v="0"/>
    <n v="0"/>
    <n v="0"/>
    <n v="0"/>
    <n v="0"/>
    <n v="0"/>
    <x v="0"/>
    <x v="17"/>
    <x v="1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1."/>
    <s v="5.ACTIVIDAD"/>
    <s v="5000042. MEJORAMIENTO DEL ACCESO DE LA POBLACION A METODOS DE PLANIFICACION FAMILIAR"/>
    <s v="20. SALUD"/>
    <s v="044. SALUD INDIVIDUAL"/>
    <s v="0096. ATENCION MEDICA BASICA"/>
    <s v="00001"/>
    <s v="0033291. POBLACION ACCEDE A METODOS DE PLANIFICACION FAMILIAR"/>
    <s v="00206 - PAREJA PROTEGIDA"/>
    <n v="2838"/>
    <n v="1419"/>
    <n v="909"/>
    <n v="909"/>
    <x v="44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2661"/>
    <n v="0"/>
    <n v="2661"/>
    <n v="2661"/>
    <n v="2661"/>
    <n v="0"/>
    <n v="0"/>
    <n v="0"/>
    <n v="0"/>
    <n v="2661"/>
    <n v="0"/>
    <n v="0"/>
    <n v="0"/>
    <n v="0"/>
    <n v="0"/>
    <n v="0"/>
    <n v="0"/>
    <n v="0"/>
    <n v="0"/>
    <n v="0"/>
    <n v="0"/>
    <n v="2661"/>
    <n v="0"/>
    <n v="0"/>
    <n v="0"/>
    <n v="0"/>
    <n v="0"/>
    <n v="0"/>
    <n v="0"/>
    <n v="0"/>
    <n v="0"/>
    <n v="0"/>
    <n v="0"/>
    <n v="0"/>
    <n v="2661"/>
    <n v="0"/>
    <n v="0"/>
    <n v="0"/>
    <n v="0"/>
    <n v="0"/>
    <n v="0"/>
    <n v="0"/>
    <n v="0"/>
    <n v="0"/>
    <n v="0"/>
    <n v="0"/>
    <n v="2661"/>
    <n v="0"/>
    <n v="0"/>
    <n v="0"/>
    <n v="0"/>
    <n v="0"/>
    <n v="0"/>
    <x v="0"/>
    <x v="17"/>
    <x v="1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4."/>
    <s v="5.ACTIVIDAD"/>
    <s v="5000044. BRINDAR ATENCION A LA GESTANTE CON COMPLICACIONES"/>
    <s v="20. SALUD"/>
    <s v="044. SALUD INDIVIDUAL"/>
    <s v="0097. ATENCION MEDICA ESPECIALIZADA"/>
    <s v="00001"/>
    <s v="0033294. ATENCION DE LA GESTANTE CON COMPLICACIONES"/>
    <s v="00016 - CASO TRATADO"/>
    <n v="4100"/>
    <n v="2050"/>
    <n v="1830"/>
    <n v="1830"/>
    <x v="10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58541"/>
    <n v="0"/>
    <n v="58541"/>
    <n v="58541"/>
    <n v="58541"/>
    <n v="3898"/>
    <n v="0"/>
    <n v="8525"/>
    <n v="27707.41"/>
    <n v="16521.41"/>
    <n v="0"/>
    <n v="0"/>
    <n v="0"/>
    <n v="0"/>
    <n v="0"/>
    <n v="0"/>
    <n v="0"/>
    <n v="3898"/>
    <n v="0"/>
    <n v="8525"/>
    <n v="27707.41"/>
    <n v="16521.41"/>
    <n v="0"/>
    <n v="0"/>
    <n v="0"/>
    <n v="0"/>
    <n v="0"/>
    <n v="0"/>
    <n v="0"/>
    <n v="0"/>
    <n v="3898"/>
    <n v="8525"/>
    <n v="8525"/>
    <n v="19182.41"/>
    <n v="16521.41"/>
    <n v="0"/>
    <n v="0"/>
    <n v="0"/>
    <n v="0"/>
    <n v="0"/>
    <n v="0"/>
    <n v="0"/>
    <n v="3898"/>
    <n v="8525"/>
    <n v="8525"/>
    <n v="19182.41"/>
    <n v="16521.41"/>
    <n v="0"/>
    <n v="0"/>
    <n v="0"/>
    <n v="0"/>
    <n v="0"/>
    <n v="0"/>
    <x v="0"/>
    <x v="17"/>
    <x v="1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5."/>
    <s v="5.ACTIVIDAD"/>
    <s v="5000045. BRINDAR ATENCION DE PARTO NORMAL"/>
    <s v="20. SALUD"/>
    <s v="044. SALUD INDIVIDUAL"/>
    <s v="0096. ATENCION MEDICA BASICA"/>
    <s v="00001"/>
    <s v="0033295. ATENCION DEL PARTO NORMAL"/>
    <s v="00208 - PARTO NORMAL"/>
    <n v="1400"/>
    <n v="700"/>
    <n v="447"/>
    <n v="447"/>
    <x v="11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6852"/>
    <n v="0"/>
    <n v="6852"/>
    <n v="6852"/>
    <n v="6852"/>
    <n v="1957"/>
    <n v="0"/>
    <n v="1957"/>
    <n v="2686.78"/>
    <n v="0"/>
    <n v="0"/>
    <n v="0"/>
    <n v="0"/>
    <n v="0"/>
    <n v="0"/>
    <n v="0"/>
    <n v="0"/>
    <n v="1957"/>
    <n v="0"/>
    <n v="1957"/>
    <n v="2686.78"/>
    <n v="0"/>
    <n v="0"/>
    <n v="0"/>
    <n v="0"/>
    <n v="0"/>
    <n v="0"/>
    <n v="0"/>
    <n v="0"/>
    <n v="0"/>
    <n v="1957"/>
    <n v="1957"/>
    <n v="1957"/>
    <n v="729.78"/>
    <n v="0"/>
    <n v="0"/>
    <n v="0"/>
    <n v="0"/>
    <n v="0"/>
    <n v="0"/>
    <n v="0"/>
    <n v="0"/>
    <n v="1957"/>
    <n v="1957"/>
    <n v="1957"/>
    <n v="729.78"/>
    <n v="0"/>
    <n v="0"/>
    <n v="0"/>
    <n v="0"/>
    <n v="0"/>
    <n v="0"/>
    <n v="0"/>
    <x v="0"/>
    <x v="17"/>
    <x v="1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6."/>
    <s v="5.ACTIVIDAD"/>
    <s v="5000046. BRINDAR ATENCION DEL PARTO COMPLICADO NO QUIRURGICO"/>
    <s v="20. SALUD"/>
    <s v="044. SALUD INDIVIDUAL"/>
    <s v="0097. ATENCION MEDICA ESPECIALIZADA"/>
    <s v="00001"/>
    <s v="0033296. ATENCION DEL PARTO COMPLICADO NO QUIRURGICO"/>
    <s v="00209 - PARTO COMPLICADO"/>
    <n v="1420"/>
    <n v="710"/>
    <n v="443"/>
    <n v="443"/>
    <x v="12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19049"/>
    <n v="0"/>
    <n v="19049"/>
    <n v="19049"/>
    <n v="19049"/>
    <n v="262"/>
    <n v="0"/>
    <n v="262"/>
    <n v="14910.05"/>
    <n v="0"/>
    <n v="262"/>
    <n v="0"/>
    <n v="0"/>
    <n v="0"/>
    <n v="0"/>
    <n v="0"/>
    <n v="0"/>
    <n v="262"/>
    <n v="0"/>
    <n v="262"/>
    <n v="14910.05"/>
    <n v="0"/>
    <n v="262"/>
    <n v="0"/>
    <n v="0"/>
    <n v="0"/>
    <n v="0"/>
    <n v="0"/>
    <n v="0"/>
    <n v="0"/>
    <n v="262"/>
    <n v="262"/>
    <n v="855"/>
    <n v="14055.05"/>
    <n v="0"/>
    <n v="262"/>
    <n v="0"/>
    <n v="0"/>
    <n v="0"/>
    <n v="0"/>
    <n v="0"/>
    <n v="0"/>
    <n v="262"/>
    <n v="262"/>
    <n v="855"/>
    <n v="14055.05"/>
    <n v="0"/>
    <n v="262"/>
    <n v="0"/>
    <n v="0"/>
    <n v="0"/>
    <n v="0"/>
    <n v="0"/>
    <x v="0"/>
    <x v="17"/>
    <x v="1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7."/>
    <s v="5.ACTIVIDAD"/>
    <s v="5000047. BRINDAR ATENCION DEL PARTO COMPLICADO QUIRURGICO"/>
    <s v="20. SALUD"/>
    <s v="044. SALUD INDIVIDUAL"/>
    <s v="0097. ATENCION MEDICA ESPECIALIZADA"/>
    <s v="00001"/>
    <s v="0033297. ATENCION DEL PARTO COMPLICADO QUIRURGICO"/>
    <s v="00210 - CESAREA"/>
    <n v="1550"/>
    <n v="775"/>
    <n v="747"/>
    <n v="747"/>
    <x v="13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31322"/>
    <n v="0"/>
    <n v="31322"/>
    <n v="31322"/>
    <n v="31322"/>
    <n v="10087"/>
    <n v="0"/>
    <n v="10087"/>
    <n v="10087"/>
    <n v="0"/>
    <n v="0"/>
    <n v="0"/>
    <n v="0"/>
    <n v="0"/>
    <n v="0"/>
    <n v="0"/>
    <n v="0"/>
    <n v="10087"/>
    <n v="0"/>
    <n v="10087"/>
    <n v="10087"/>
    <n v="0"/>
    <n v="0"/>
    <n v="0"/>
    <n v="0"/>
    <n v="0"/>
    <n v="0"/>
    <n v="0"/>
    <n v="0"/>
    <n v="0"/>
    <n v="10087"/>
    <n v="10087"/>
    <n v="10087"/>
    <n v="0"/>
    <n v="0"/>
    <n v="0"/>
    <n v="0"/>
    <n v="0"/>
    <n v="0"/>
    <n v="0"/>
    <n v="0"/>
    <n v="0"/>
    <n v="10087"/>
    <n v="10087"/>
    <n v="10087"/>
    <n v="0"/>
    <n v="0"/>
    <n v="0"/>
    <n v="0"/>
    <n v="0"/>
    <n v="0"/>
    <n v="0"/>
    <n v="0"/>
    <x v="0"/>
    <x v="17"/>
    <x v="1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8."/>
    <s v="5.ACTIVIDAD"/>
    <s v="5000048. ATENDER EL PUERPERIO"/>
    <s v="20. SALUD"/>
    <s v="044. SALUD INDIVIDUAL"/>
    <s v="0096. ATENCION MEDICA BASICA"/>
    <s v="00001"/>
    <s v="0033298. ATENCION DEL PUERPERIO"/>
    <s v="00628 - DELITO ATENDIDO"/>
    <n v="150"/>
    <n v="75"/>
    <n v="15"/>
    <n v="15"/>
    <x v="14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12993"/>
    <n v="0"/>
    <n v="12993"/>
    <n v="12993"/>
    <n v="12993"/>
    <n v="1400"/>
    <n v="0"/>
    <n v="1400"/>
    <n v="5180.24"/>
    <n v="908.79"/>
    <n v="730"/>
    <n v="0"/>
    <n v="0"/>
    <n v="0"/>
    <n v="0"/>
    <n v="0"/>
    <n v="0"/>
    <n v="1400"/>
    <n v="0"/>
    <n v="1400"/>
    <n v="5180.24"/>
    <n v="908.79"/>
    <n v="730"/>
    <n v="0"/>
    <n v="0"/>
    <n v="0"/>
    <n v="0"/>
    <n v="0"/>
    <n v="0"/>
    <n v="0"/>
    <n v="1400"/>
    <n v="1400"/>
    <n v="1400"/>
    <n v="3780.24"/>
    <n v="0"/>
    <n v="730"/>
    <n v="0"/>
    <n v="0"/>
    <n v="0"/>
    <n v="0"/>
    <n v="0"/>
    <n v="0"/>
    <n v="1400"/>
    <n v="1400"/>
    <n v="1400"/>
    <n v="3780.24"/>
    <n v="0"/>
    <n v="730"/>
    <n v="0"/>
    <n v="0"/>
    <n v="0"/>
    <n v="0"/>
    <n v="0"/>
    <x v="0"/>
    <x v="17"/>
    <x v="1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0."/>
    <s v="5.ACTIVIDAD"/>
    <s v="5000050. ATENDER COMPLICACIONES OBSTETRICAS EN UNIDAD DE CUIDADOS INTENSIVOS"/>
    <s v="20. SALUD"/>
    <s v="044. SALUD INDIVIDUAL"/>
    <s v="0097. ATENCION MEDICA ESPECIALIZADA"/>
    <s v="00001"/>
    <s v="0033300. ATENCION OBSTETRICA EN UNIDAD DE CUIDADOS INTENSIVOS"/>
    <s v="00016 - CASO TRATADO"/>
    <n v="68"/>
    <n v="34"/>
    <n v="16"/>
    <n v="16"/>
    <x v="16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20694"/>
    <n v="0"/>
    <n v="20694"/>
    <n v="20694"/>
    <n v="20694"/>
    <n v="4127"/>
    <n v="0"/>
    <n v="4127"/>
    <n v="4127"/>
    <n v="3135.75"/>
    <n v="3136"/>
    <n v="0"/>
    <n v="0"/>
    <n v="0"/>
    <n v="0"/>
    <n v="0"/>
    <n v="0"/>
    <n v="4127"/>
    <n v="0"/>
    <n v="4127"/>
    <n v="4127"/>
    <n v="3135.75"/>
    <n v="3136"/>
    <n v="0"/>
    <n v="0"/>
    <n v="0"/>
    <n v="0"/>
    <n v="0"/>
    <n v="0"/>
    <n v="0"/>
    <n v="4127"/>
    <n v="4127"/>
    <n v="4127"/>
    <n v="0"/>
    <n v="3135.75"/>
    <n v="3136"/>
    <n v="0"/>
    <n v="0"/>
    <n v="0"/>
    <n v="0"/>
    <n v="0"/>
    <n v="0"/>
    <n v="4127"/>
    <n v="4127"/>
    <n v="4127"/>
    <n v="0"/>
    <n v="3135.75"/>
    <n v="3136"/>
    <n v="0"/>
    <n v="0"/>
    <n v="0"/>
    <n v="0"/>
    <n v="0"/>
    <x v="0"/>
    <x v="17"/>
    <x v="1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5."/>
    <s v="5.ACTIVIDAD"/>
    <s v="5000053. ATENDER AL RECIEN NACIDO NORMAL"/>
    <s v="20. SALUD"/>
    <s v="044. SALUD INDIVIDUAL"/>
    <s v="0096. ATENCION MEDICA BASICA"/>
    <s v="00001"/>
    <s v="0033305. ATENCION DEL RECIEN NACIDO NORMAL"/>
    <s v="00239 - RECIEN NACIDO ATENDIDO"/>
    <n v="7546"/>
    <n v="3773"/>
    <n v="2820"/>
    <n v="2820"/>
    <x v="17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26332"/>
    <n v="0"/>
    <n v="26332"/>
    <n v="26332"/>
    <n v="26332"/>
    <n v="4729"/>
    <n v="0"/>
    <n v="4729"/>
    <n v="4729"/>
    <n v="11418.13"/>
    <n v="0"/>
    <n v="0"/>
    <n v="0"/>
    <n v="0"/>
    <n v="0"/>
    <n v="0"/>
    <n v="0"/>
    <n v="4729"/>
    <n v="0"/>
    <n v="4729"/>
    <n v="4729"/>
    <n v="11418.13"/>
    <n v="0"/>
    <n v="0"/>
    <n v="0"/>
    <n v="0"/>
    <n v="0"/>
    <n v="0"/>
    <n v="0"/>
    <n v="0"/>
    <n v="4729"/>
    <n v="4729"/>
    <n v="4729"/>
    <n v="0"/>
    <n v="11418.13"/>
    <n v="0"/>
    <n v="0"/>
    <n v="0"/>
    <n v="0"/>
    <n v="0"/>
    <n v="0"/>
    <n v="0"/>
    <n v="4729"/>
    <n v="4729"/>
    <n v="4729"/>
    <n v="0"/>
    <n v="11418.13"/>
    <n v="0"/>
    <n v="0"/>
    <n v="0"/>
    <n v="0"/>
    <n v="0"/>
    <n v="0"/>
    <x v="0"/>
    <x v="17"/>
    <x v="1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2."/>
    <s v="5.ACTIVIDAD"/>
    <s v="5000110. BRINDAR TRATAMIENTO A PACIENTES CON DIAGNOSTICO DE CATARATAS"/>
    <s v="20. SALUD"/>
    <s v="044. SALUD INDIVIDUAL"/>
    <s v="0097. ATENCION MEDICA ESPECIALIZADA"/>
    <s v="00001"/>
    <s v="0135994. BRINDAR TRATAMIENTO A PACIENTES CON DIAGNOSTICO DE CATARATAS"/>
    <s v="00394 - TECNICO"/>
    <n v="648"/>
    <n v="324"/>
    <n v="141"/>
    <n v="141"/>
    <x v="22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3668"/>
    <n v="0"/>
    <n v="3668"/>
    <n v="3668"/>
    <n v="3668"/>
    <n v="387"/>
    <n v="0"/>
    <n v="387"/>
    <n v="387"/>
    <n v="0"/>
    <n v="387"/>
    <n v="0"/>
    <n v="0"/>
    <n v="0"/>
    <n v="0"/>
    <n v="0"/>
    <n v="0"/>
    <n v="387"/>
    <n v="0"/>
    <n v="387"/>
    <n v="387"/>
    <n v="0"/>
    <n v="387"/>
    <n v="0"/>
    <n v="0"/>
    <n v="0"/>
    <n v="0"/>
    <n v="0"/>
    <n v="0"/>
    <n v="0"/>
    <n v="387"/>
    <n v="387"/>
    <n v="387"/>
    <n v="0"/>
    <n v="0"/>
    <n v="387"/>
    <n v="0"/>
    <n v="0"/>
    <n v="0"/>
    <n v="0"/>
    <n v="0"/>
    <n v="0"/>
    <n v="387"/>
    <n v="387"/>
    <n v="387"/>
    <n v="0"/>
    <n v="0"/>
    <n v="387"/>
    <n v="0"/>
    <n v="0"/>
    <n v="0"/>
    <n v="0"/>
    <n v="0"/>
    <x v="0"/>
    <x v="17"/>
    <x v="1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6."/>
    <s v="5.ACTIVIDAD"/>
    <s v="5000114. BRINDAR TRATAMIENTO A PERSONAS CON DIAGNOSTICO DE HIPERTENSION ARTERIAL"/>
    <s v="20. SALUD"/>
    <s v="044. SALUD INDIVIDUAL"/>
    <s v="0097. ATENCION MEDICA ESPECIALIZADA"/>
    <s v="00001"/>
    <s v="0135998. BRINDAR TRATAMIENTO A PERSONAS CON DIAGNOSTICO DE HIPERTENSION ARTERIAL"/>
    <s v="00394 - TECNICO"/>
    <n v="771"/>
    <n v="385"/>
    <n v="382"/>
    <n v="382"/>
    <x v="23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2465"/>
    <n v="0"/>
    <n v="2465"/>
    <n v="2465"/>
    <n v="2465"/>
    <n v="583"/>
    <n v="0"/>
    <n v="583"/>
    <n v="583"/>
    <n v="582.65"/>
    <n v="0"/>
    <n v="0"/>
    <n v="0"/>
    <n v="0"/>
    <n v="0"/>
    <n v="0"/>
    <n v="0"/>
    <n v="583"/>
    <n v="0"/>
    <n v="583"/>
    <n v="583"/>
    <n v="582.65"/>
    <n v="0"/>
    <n v="0"/>
    <n v="0"/>
    <n v="0"/>
    <n v="0"/>
    <n v="0"/>
    <n v="0"/>
    <n v="0"/>
    <n v="583"/>
    <n v="583"/>
    <n v="583"/>
    <n v="0"/>
    <n v="582.65"/>
    <n v="0"/>
    <n v="0"/>
    <n v="0"/>
    <n v="0"/>
    <n v="0"/>
    <n v="0"/>
    <n v="0"/>
    <n v="583"/>
    <n v="583"/>
    <n v="583"/>
    <n v="0"/>
    <n v="582.65"/>
    <n v="0"/>
    <n v="0"/>
    <n v="0"/>
    <n v="0"/>
    <n v="0"/>
    <n v="0"/>
    <x v="0"/>
    <x v="17"/>
    <x v="1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2824. ATENCION AMBULATORIA DE URGENCIAS (PRIORIDAD III O IV) EN MODULOS HOSPITALARIOS DIFERENCIADOS AUTORIZADOS"/>
    <s v="20. SALUD"/>
    <s v="044. SALUD INDIVIDUAL"/>
    <s v="0096. ATENCION MEDICA BASICA"/>
    <s v="00001"/>
    <s v="0076144. ATENCION AMBULATORIA DE URGENCIAS (PRIORIDAD III O IV) EN MODULOS HOSPITALARIOS DIFERENCIADOS AUTORIZADOS"/>
    <s v="00006 - ATENCION"/>
    <n v="2000"/>
    <n v="1000"/>
    <n v="1994"/>
    <n v="1994"/>
    <x v="27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56803"/>
    <n v="0"/>
    <n v="56803"/>
    <n v="56803"/>
    <n v="56803"/>
    <n v="2760"/>
    <n v="0"/>
    <n v="8760"/>
    <n v="33848.699999999997"/>
    <n v="2342.56"/>
    <n v="2343"/>
    <n v="0"/>
    <n v="0"/>
    <n v="0"/>
    <n v="0"/>
    <n v="0"/>
    <n v="0"/>
    <n v="2760"/>
    <n v="0"/>
    <n v="8760"/>
    <n v="33848.699999999997"/>
    <n v="2342.56"/>
    <n v="2343"/>
    <n v="0"/>
    <n v="0"/>
    <n v="0"/>
    <n v="0"/>
    <n v="0"/>
    <n v="0"/>
    <n v="0"/>
    <n v="2760"/>
    <n v="8760"/>
    <n v="8760"/>
    <n v="25088.7"/>
    <n v="2342.56"/>
    <n v="2343"/>
    <n v="0"/>
    <n v="0"/>
    <n v="0"/>
    <n v="0"/>
    <n v="0"/>
    <n v="0"/>
    <n v="2760"/>
    <n v="8760"/>
    <n v="8760"/>
    <n v="25088.7"/>
    <n v="2342.56"/>
    <n v="2343"/>
    <n v="0"/>
    <n v="0"/>
    <n v="0"/>
    <n v="0"/>
    <n v="0"/>
    <x v="0"/>
    <x v="17"/>
    <x v="1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3. ATENCION DE LA EMERGENCIA Y URGENCIA ESPECIALIZADA"/>
    <s v="20. SALUD"/>
    <s v="044. SALUD INDIVIDUAL"/>
    <s v="0097. ATENCION MEDICA ESPECIALIZADA"/>
    <s v="00001"/>
    <s v="0188299. ATENCION DE LA EMERGENCIA Y URGENCIA ESPECIALIZADA"/>
    <s v="00006 - ATENCION"/>
    <n v="25000"/>
    <n v="12500"/>
    <n v="7470"/>
    <n v="7470"/>
    <x v="28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30978"/>
    <n v="0"/>
    <n v="30978"/>
    <n v="30978"/>
    <n v="30978"/>
    <n v="21436"/>
    <n v="0"/>
    <n v="1436"/>
    <n v="7819.92"/>
    <n v="0"/>
    <n v="0"/>
    <n v="0"/>
    <n v="0"/>
    <n v="0"/>
    <n v="0"/>
    <n v="0"/>
    <n v="0"/>
    <n v="21436"/>
    <n v="0"/>
    <n v="1436"/>
    <n v="7819.92"/>
    <n v="0"/>
    <n v="0"/>
    <n v="0"/>
    <n v="0"/>
    <n v="0"/>
    <n v="0"/>
    <n v="0"/>
    <n v="0"/>
    <n v="0"/>
    <n v="21436"/>
    <n v="1436"/>
    <n v="1436"/>
    <n v="6383.92"/>
    <n v="0"/>
    <n v="0"/>
    <n v="0"/>
    <n v="0"/>
    <n v="0"/>
    <n v="0"/>
    <n v="0"/>
    <n v="0"/>
    <n v="21436"/>
    <n v="1436"/>
    <n v="1436"/>
    <n v="6383.92"/>
    <n v="0"/>
    <n v="0"/>
    <n v="0"/>
    <n v="0"/>
    <n v="0"/>
    <n v="0"/>
    <n v="0"/>
    <x v="0"/>
    <x v="17"/>
    <x v="1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4. ATENCION DE LA EMERGENCIA DE CUIDADOS INTENSIVOS"/>
    <s v="20. SALUD"/>
    <s v="044. SALUD INDIVIDUAL"/>
    <s v="0097. ATENCION MEDICA ESPECIALIZADA"/>
    <s v="00001"/>
    <s v="0188300. ATENCION DE LA EMERGENCIA DE CUIDADOS INTENSIVOS"/>
    <s v="00006 - ATENCION"/>
    <n v="400"/>
    <n v="200"/>
    <n v="128"/>
    <n v="128"/>
    <x v="29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32312"/>
    <n v="0"/>
    <n v="32312"/>
    <n v="32312"/>
    <n v="32312"/>
    <n v="6151"/>
    <n v="0"/>
    <n v="6151"/>
    <n v="6151"/>
    <n v="6495.84"/>
    <n v="6300"/>
    <n v="0"/>
    <n v="0"/>
    <n v="0"/>
    <n v="0"/>
    <n v="0"/>
    <n v="0"/>
    <n v="6151"/>
    <n v="0"/>
    <n v="6151"/>
    <n v="6151"/>
    <n v="6495.84"/>
    <n v="6300"/>
    <n v="0"/>
    <n v="0"/>
    <n v="0"/>
    <n v="0"/>
    <n v="0"/>
    <n v="0"/>
    <n v="0"/>
    <n v="6151"/>
    <n v="6151"/>
    <n v="6151"/>
    <n v="0"/>
    <n v="6495.84"/>
    <n v="6300"/>
    <n v="0"/>
    <n v="0"/>
    <n v="0"/>
    <n v="0"/>
    <n v="0"/>
    <n v="0"/>
    <n v="6151"/>
    <n v="6151"/>
    <n v="6151"/>
    <n v="0"/>
    <n v="6495.84"/>
    <n v="6300"/>
    <n v="0"/>
    <n v="0"/>
    <n v="0"/>
    <n v="0"/>
    <n v="0"/>
    <x v="0"/>
    <x v="17"/>
    <x v="1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5. ATENCION DE LA EMERGENCIA QUIRURGICA"/>
    <s v="20. SALUD"/>
    <s v="044. SALUD INDIVIDUAL"/>
    <s v="0097. ATENCION MEDICA ESPECIALIZADA"/>
    <s v="00001"/>
    <s v="0188301. ATENCION DE LA EMERGENCIA QUIRURGICA"/>
    <s v="00006 - ATENCION"/>
    <n v="3000"/>
    <n v="1500"/>
    <n v="1405"/>
    <n v="1405"/>
    <x v="30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73579"/>
    <n v="0"/>
    <n v="73579"/>
    <n v="73579"/>
    <n v="73579"/>
    <n v="12133"/>
    <n v="9673"/>
    <n v="12133"/>
    <n v="26463.79"/>
    <n v="13176.21"/>
    <n v="0"/>
    <n v="0"/>
    <n v="0"/>
    <n v="0"/>
    <n v="0"/>
    <n v="0"/>
    <n v="0"/>
    <n v="12133"/>
    <n v="9673"/>
    <n v="12133"/>
    <n v="26463.79"/>
    <n v="13176.21"/>
    <n v="0"/>
    <n v="0"/>
    <n v="0"/>
    <n v="0"/>
    <n v="0"/>
    <n v="0"/>
    <n v="0"/>
    <n v="0"/>
    <n v="21806"/>
    <n v="12133"/>
    <n v="12133"/>
    <n v="14330.79"/>
    <n v="13176.21"/>
    <n v="0"/>
    <n v="0"/>
    <n v="0"/>
    <n v="0"/>
    <n v="0"/>
    <n v="0"/>
    <n v="0"/>
    <n v="21806"/>
    <n v="12133"/>
    <n v="12133"/>
    <n v="14330.79"/>
    <n v="13176.21"/>
    <n v="0"/>
    <n v="0"/>
    <n v="0"/>
    <n v="0"/>
    <n v="0"/>
    <n v="0"/>
    <x v="0"/>
    <x v="17"/>
    <x v="1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0"/>
    <s v=" ."/>
    <s v="3000688."/>
    <s v="5.ACTIVIDAD"/>
    <s v="5004449. CAPACITACION EN MEDICINA DE REHABILITACION"/>
    <s v="20. SALUD"/>
    <s v="044. SALUD INDIVIDUAL"/>
    <s v="0097. ATENCION MEDICA ESPECIALIZADA"/>
    <s v="00001"/>
    <s v="0136018. CAPACITACION EN MEDICINA DE REHABILITACION"/>
    <s v="00088 - PERSONA CAPACITADA"/>
    <n v="60"/>
    <n v="30"/>
    <n v="0"/>
    <n v="0"/>
    <x v="0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7469"/>
    <n v="0"/>
    <n v="7469"/>
    <n v="7469"/>
    <n v="7469"/>
    <n v="791"/>
    <n v="0"/>
    <n v="791"/>
    <n v="1581.79"/>
    <n v="1945.37"/>
    <n v="791"/>
    <n v="0"/>
    <n v="0"/>
    <n v="0"/>
    <n v="0"/>
    <n v="0"/>
    <n v="0"/>
    <n v="791"/>
    <n v="0"/>
    <n v="791"/>
    <n v="1581.79"/>
    <n v="1945.37"/>
    <n v="791"/>
    <n v="0"/>
    <n v="0"/>
    <n v="0"/>
    <n v="0"/>
    <n v="0"/>
    <n v="0"/>
    <n v="0"/>
    <n v="791"/>
    <n v="791"/>
    <n v="791"/>
    <n v="790.79"/>
    <n v="1945.37"/>
    <n v="791"/>
    <n v="0"/>
    <n v="0"/>
    <n v="0"/>
    <n v="0"/>
    <n v="0"/>
    <n v="0"/>
    <n v="791"/>
    <n v="791"/>
    <n v="791"/>
    <n v="790.79"/>
    <n v="1945.37"/>
    <n v="791"/>
    <n v="0"/>
    <n v="0"/>
    <n v="0"/>
    <n v="0"/>
    <n v="0"/>
    <x v="0"/>
    <x v="17"/>
    <x v="1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698."/>
    <s v="5.ACTIVIDAD"/>
    <s v="5005188. TAMIZAJE DE PERSONAS CON TRASTORNOS MENTALES Y PROBLEMAS PSICOSOCIALES"/>
    <s v="20. SALUD"/>
    <s v="044. SALUD INDIVIDUAL"/>
    <s v="0096. ATENCION MEDICA BASICA"/>
    <s v="00001"/>
    <s v="0136780. TAMIZAJE DE PERSONAS CON TRASTORNOS MENTALES Y PROBLEMAS PSICOSOCIALES"/>
    <s v="00438 - PULGADAS"/>
    <n v="310"/>
    <n v="155"/>
    <n v="273"/>
    <n v="273"/>
    <x v="31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19833"/>
    <n v="0"/>
    <n v="19833"/>
    <n v="19833"/>
    <n v="19833"/>
    <n v="1465"/>
    <n v="0"/>
    <n v="2658"/>
    <n v="4141.2"/>
    <n v="1483.2"/>
    <n v="6212"/>
    <n v="0"/>
    <n v="0"/>
    <n v="0"/>
    <n v="0"/>
    <n v="0"/>
    <n v="0"/>
    <n v="1465"/>
    <n v="0"/>
    <n v="2658"/>
    <n v="4141.2"/>
    <n v="1483.2"/>
    <n v="6212"/>
    <n v="0"/>
    <n v="0"/>
    <n v="0"/>
    <n v="0"/>
    <n v="0"/>
    <n v="0"/>
    <n v="0"/>
    <n v="1465"/>
    <n v="2658"/>
    <n v="2658"/>
    <n v="1483.2"/>
    <n v="1483.2"/>
    <n v="6212"/>
    <n v="0"/>
    <n v="0"/>
    <n v="0"/>
    <n v="0"/>
    <n v="0"/>
    <n v="0"/>
    <n v="1465"/>
    <n v="2658"/>
    <n v="2658"/>
    <n v="1483.2"/>
    <n v="1483.2"/>
    <n v="6212"/>
    <n v="0"/>
    <n v="0"/>
    <n v="0"/>
    <n v="0"/>
    <n v="0"/>
    <x v="0"/>
    <x v="17"/>
    <x v="17"/>
    <x v="0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1. PLANEAMIENTO Y PRESUPUESTO"/>
    <s v="20. SALUD"/>
    <s v="004. PLANEAMIENTO GUBERNAMENTAL"/>
    <s v="0005. PLANEAMIENTO INSTITUCIONAL"/>
    <s v="00001"/>
    <s v="0001179. PLANEAMIENTO Y PRESUPUESTO"/>
    <s v="00001 - ACCION"/>
    <n v="12"/>
    <n v="6"/>
    <n v="5"/>
    <n v="5"/>
    <x v="1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3134"/>
    <n v="0"/>
    <n v="3134"/>
    <n v="3134"/>
    <n v="3134"/>
    <n v="251"/>
    <n v="0"/>
    <n v="251"/>
    <n v="585.79999999999995"/>
    <n v="334.8"/>
    <n v="354"/>
    <n v="0"/>
    <n v="0"/>
    <n v="0"/>
    <n v="0"/>
    <n v="0"/>
    <n v="0"/>
    <n v="251"/>
    <n v="0"/>
    <n v="251"/>
    <n v="585.79999999999995"/>
    <n v="334.8"/>
    <n v="354"/>
    <n v="0"/>
    <n v="0"/>
    <n v="0"/>
    <n v="0"/>
    <n v="0"/>
    <n v="0"/>
    <n v="0"/>
    <n v="251"/>
    <n v="251"/>
    <n v="251"/>
    <n v="334.8"/>
    <n v="334.8"/>
    <n v="354"/>
    <n v="0"/>
    <n v="0"/>
    <n v="0"/>
    <n v="0"/>
    <n v="0"/>
    <n v="0"/>
    <n v="251"/>
    <n v="251"/>
    <n v="251"/>
    <n v="334.8"/>
    <n v="334.8"/>
    <n v="354"/>
    <n v="0"/>
    <n v="0"/>
    <n v="0"/>
    <n v="0"/>
    <n v="0"/>
    <x v="0"/>
    <x v="17"/>
    <x v="17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51991"/>
    <n v="0"/>
    <n v="51991"/>
    <n v="51991"/>
    <n v="51991"/>
    <n v="3490"/>
    <n v="0"/>
    <n v="5559"/>
    <n v="9035.2900000000009"/>
    <n v="28399.599999999999"/>
    <n v="3432"/>
    <n v="0"/>
    <n v="0"/>
    <n v="0"/>
    <n v="0"/>
    <n v="0"/>
    <n v="0"/>
    <n v="3490"/>
    <n v="0"/>
    <n v="5559"/>
    <n v="9035.2900000000009"/>
    <n v="28399.599999999999"/>
    <n v="3432"/>
    <n v="0"/>
    <n v="0"/>
    <n v="0"/>
    <n v="0"/>
    <n v="0"/>
    <n v="0"/>
    <n v="0"/>
    <n v="3490"/>
    <n v="5559"/>
    <n v="5559"/>
    <n v="3476.29"/>
    <n v="28399.599999999999"/>
    <n v="3432"/>
    <n v="0"/>
    <n v="0"/>
    <n v="0"/>
    <n v="0"/>
    <n v="0"/>
    <n v="0"/>
    <n v="3490"/>
    <n v="5559"/>
    <n v="5559"/>
    <n v="3476.29"/>
    <n v="28399.599999999999"/>
    <n v="3432"/>
    <n v="0"/>
    <n v="0"/>
    <n v="0"/>
    <n v="0"/>
    <n v="0"/>
    <x v="0"/>
    <x v="17"/>
    <x v="17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5. GESTION DE RECURSOS HUMANOS"/>
    <s v="20. SALUD"/>
    <s v="006. GESTION"/>
    <s v="0011. PREPARACION Y PERFECCIONAMIENTO DE RECURSOS HUMANOS"/>
    <s v="00001"/>
    <s v="0053571. GESTION DE RECURSOS HUMANOS"/>
    <s v="00001 - ACCION"/>
    <n v="2426"/>
    <n v="1213"/>
    <n v="124"/>
    <n v="124"/>
    <x v="3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45600"/>
    <n v="2863"/>
    <n v="48463"/>
    <n v="45600"/>
    <n v="45600"/>
    <n v="1057"/>
    <n v="0"/>
    <n v="8088"/>
    <n v="10490.76"/>
    <n v="2337.2399999999998"/>
    <n v="12087"/>
    <n v="0"/>
    <n v="0"/>
    <n v="0"/>
    <n v="0"/>
    <n v="0"/>
    <n v="0"/>
    <n v="1057"/>
    <n v="0"/>
    <n v="8088"/>
    <n v="10490.76"/>
    <n v="2337.2399999999998"/>
    <n v="12087"/>
    <n v="0"/>
    <n v="0"/>
    <n v="0"/>
    <n v="0"/>
    <n v="0"/>
    <n v="0"/>
    <n v="0"/>
    <n v="1057"/>
    <n v="8088"/>
    <n v="8088"/>
    <n v="2402.7600000000002"/>
    <n v="2337.2399999999998"/>
    <n v="12087"/>
    <n v="0"/>
    <n v="0"/>
    <n v="0"/>
    <n v="0"/>
    <n v="0"/>
    <n v="0"/>
    <n v="1057"/>
    <n v="8088"/>
    <n v="8088"/>
    <n v="2402.7600000000002"/>
    <n v="2337.2399999999998"/>
    <n v="12087"/>
    <n v="0"/>
    <n v="0"/>
    <n v="0"/>
    <n v="0"/>
    <n v="0"/>
    <x v="0"/>
    <x v="17"/>
    <x v="17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6. ACCIONES DE CONTROL Y AUDITORIA"/>
    <s v="20. SALUD"/>
    <s v="006. GESTION"/>
    <s v="0012. CONTROL INTERNO"/>
    <s v="00001"/>
    <s v="0023404. ACCIONES DE CONTROL Y AUDITORIA"/>
    <s v="00001 - ACCION"/>
    <n v="54"/>
    <n v="27"/>
    <n v="13"/>
    <n v="13"/>
    <x v="4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2130"/>
    <n v="0"/>
    <n v="2130"/>
    <n v="2130"/>
    <n v="2130"/>
    <n v="84"/>
    <n v="0"/>
    <n v="84"/>
    <n v="167.7"/>
    <n v="83.7"/>
    <n v="0"/>
    <n v="0"/>
    <n v="0"/>
    <n v="0"/>
    <n v="0"/>
    <n v="0"/>
    <n v="0"/>
    <n v="84"/>
    <n v="0"/>
    <n v="84"/>
    <n v="167.7"/>
    <n v="83.7"/>
    <n v="0"/>
    <n v="0"/>
    <n v="0"/>
    <n v="0"/>
    <n v="0"/>
    <n v="0"/>
    <n v="0"/>
    <n v="0"/>
    <n v="84"/>
    <n v="84"/>
    <n v="84"/>
    <n v="83.7"/>
    <n v="83.7"/>
    <n v="0"/>
    <n v="0"/>
    <n v="0"/>
    <n v="0"/>
    <n v="0"/>
    <n v="0"/>
    <n v="0"/>
    <n v="84"/>
    <n v="84"/>
    <n v="84"/>
    <n v="83.7"/>
    <n v="83.7"/>
    <n v="0"/>
    <n v="0"/>
    <n v="0"/>
    <n v="0"/>
    <n v="0"/>
    <n v="0"/>
    <x v="0"/>
    <x v="17"/>
    <x v="17"/>
    <x v="1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377. MEJORAMIENTO DE LA OFERTA DE LOS SERVICIOS DE SALUD"/>
    <s v="20. SALUD"/>
    <s v="044. SALUD INDIVIDUAL"/>
    <s v="0097. ATENCION MEDICA ESPECIALIZADA"/>
    <s v="00001"/>
    <s v="0006831. MEJORAR LA ATENCION A LA POBLACION"/>
    <s v="00006 - ATENCION"/>
    <n v="2400"/>
    <n v="1200"/>
    <n v="940"/>
    <n v="940"/>
    <x v="32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31880"/>
    <n v="0"/>
    <n v="31880"/>
    <n v="10413.379999999999"/>
    <n v="10413.379999999999"/>
    <n v="1137"/>
    <n v="0"/>
    <n v="1137"/>
    <n v="2273.69"/>
    <n v="1136.69"/>
    <n v="4729"/>
    <n v="0"/>
    <n v="0"/>
    <n v="0"/>
    <n v="0"/>
    <n v="0"/>
    <n v="0"/>
    <n v="1137"/>
    <n v="0"/>
    <n v="1137"/>
    <n v="2273.69"/>
    <n v="1136.69"/>
    <n v="4729"/>
    <n v="0"/>
    <n v="0"/>
    <n v="0"/>
    <n v="0"/>
    <n v="0"/>
    <n v="0"/>
    <n v="0"/>
    <n v="1137"/>
    <n v="1137"/>
    <n v="1137"/>
    <n v="1136.69"/>
    <n v="1136.69"/>
    <n v="4729"/>
    <n v="0"/>
    <n v="0"/>
    <n v="0"/>
    <n v="0"/>
    <n v="0"/>
    <n v="0"/>
    <n v="1137"/>
    <n v="1137"/>
    <n v="1137"/>
    <n v="1136.69"/>
    <n v="1136.69"/>
    <n v="4729"/>
    <n v="0"/>
    <n v="0"/>
    <n v="0"/>
    <n v="0"/>
    <n v="0"/>
    <x v="0"/>
    <x v="17"/>
    <x v="17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00. ATENCION BASICA DE SALUD"/>
    <s v="20. SALUD"/>
    <s v="044. SALUD INDIVIDUAL"/>
    <s v="0096. ATENCION MEDICA BASICA"/>
    <s v="00001"/>
    <s v="0000251. ATENCION BASICA"/>
    <s v="00006 - ATENCION"/>
    <n v="200000"/>
    <n v="100000"/>
    <n v="78000"/>
    <n v="78000"/>
    <x v="33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92405"/>
    <n v="0"/>
    <n v="92405"/>
    <n v="11901.54"/>
    <n v="11901.54"/>
    <n v="372"/>
    <n v="0"/>
    <n v="372"/>
    <n v="866.27"/>
    <n v="494.27"/>
    <n v="9797"/>
    <n v="0"/>
    <n v="0"/>
    <n v="0"/>
    <n v="0"/>
    <n v="0"/>
    <n v="0"/>
    <n v="372"/>
    <n v="0"/>
    <n v="372"/>
    <n v="866.27"/>
    <n v="494.27"/>
    <n v="9797"/>
    <n v="0"/>
    <n v="0"/>
    <n v="0"/>
    <n v="0"/>
    <n v="0"/>
    <n v="0"/>
    <n v="0"/>
    <n v="372"/>
    <n v="372"/>
    <n v="372"/>
    <n v="494.27"/>
    <n v="494.27"/>
    <n v="9797"/>
    <n v="0"/>
    <n v="0"/>
    <n v="0"/>
    <n v="0"/>
    <n v="0"/>
    <n v="0"/>
    <n v="372"/>
    <n v="372"/>
    <n v="372"/>
    <n v="494.27"/>
    <n v="494.27"/>
    <n v="9797"/>
    <n v="0"/>
    <n v="0"/>
    <n v="0"/>
    <n v="0"/>
    <n v="0"/>
    <x v="0"/>
    <x v="17"/>
    <x v="17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10. ATENCION ESPECIALIZADA DE LA SALUD"/>
    <s v="20. SALUD"/>
    <s v="044. SALUD INDIVIDUAL"/>
    <s v="0097. ATENCION MEDICA ESPECIALIZADA"/>
    <s v="00001"/>
    <s v="0023484. ATENCION MEDICA ESPECIALIZADA"/>
    <s v="00006 - ATENCION"/>
    <n v="150000"/>
    <n v="75000"/>
    <n v="26347"/>
    <n v="26347"/>
    <x v="34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158461"/>
    <n v="0"/>
    <n v="158461"/>
    <n v="28406.82"/>
    <n v="28406.82"/>
    <n v="759"/>
    <n v="0"/>
    <n v="759"/>
    <n v="1517.91"/>
    <n v="758.91"/>
    <n v="24612"/>
    <n v="0"/>
    <n v="0"/>
    <n v="0"/>
    <n v="0"/>
    <n v="0"/>
    <n v="0"/>
    <n v="759"/>
    <n v="0"/>
    <n v="759"/>
    <n v="1517.91"/>
    <n v="758.91"/>
    <n v="24612"/>
    <n v="0"/>
    <n v="0"/>
    <n v="0"/>
    <n v="0"/>
    <n v="0"/>
    <n v="0"/>
    <n v="0"/>
    <n v="759"/>
    <n v="759"/>
    <n v="759"/>
    <n v="758.91"/>
    <n v="758.91"/>
    <n v="24612"/>
    <n v="0"/>
    <n v="0"/>
    <n v="0"/>
    <n v="0"/>
    <n v="0"/>
    <n v="0"/>
    <n v="759"/>
    <n v="759"/>
    <n v="759"/>
    <n v="758.91"/>
    <n v="758.91"/>
    <n v="24612"/>
    <n v="0"/>
    <n v="0"/>
    <n v="0"/>
    <n v="0"/>
    <n v="0"/>
    <x v="0"/>
    <x v="17"/>
    <x v="17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2. ATENCION EN CONSULTAS EXTERNAS"/>
    <s v="20. SALUD"/>
    <s v="044. SALUD INDIVIDUAL"/>
    <s v="0097. ATENCION MEDICA ESPECIALIZADA"/>
    <s v="00001"/>
    <s v="0000266. ATENCION EN CONSULTAS EXTERNAS"/>
    <s v="00006 - ATENCION"/>
    <n v="150000"/>
    <n v="75000"/>
    <n v="31583"/>
    <n v="31583"/>
    <x v="35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27904"/>
    <n v="0"/>
    <n v="27904"/>
    <n v="14327.3"/>
    <n v="14327.3"/>
    <n v="2388"/>
    <n v="0"/>
    <n v="2388"/>
    <n v="4775.6499999999996"/>
    <n v="2387.65"/>
    <n v="2388"/>
    <n v="0"/>
    <n v="0"/>
    <n v="0"/>
    <n v="0"/>
    <n v="0"/>
    <n v="0"/>
    <n v="2388"/>
    <n v="0"/>
    <n v="2388"/>
    <n v="4775.6499999999996"/>
    <n v="2387.65"/>
    <n v="2388"/>
    <n v="0"/>
    <n v="0"/>
    <n v="0"/>
    <n v="0"/>
    <n v="0"/>
    <n v="0"/>
    <n v="0"/>
    <n v="2388"/>
    <n v="2388"/>
    <n v="2388"/>
    <n v="2387.65"/>
    <n v="2387.65"/>
    <n v="2388"/>
    <n v="0"/>
    <n v="0"/>
    <n v="0"/>
    <n v="0"/>
    <n v="0"/>
    <n v="0"/>
    <n v="2388"/>
    <n v="2388"/>
    <n v="2388"/>
    <n v="2387.65"/>
    <n v="2387.65"/>
    <n v="2388"/>
    <n v="0"/>
    <n v="0"/>
    <n v="0"/>
    <n v="0"/>
    <n v="0"/>
    <x v="0"/>
    <x v="17"/>
    <x v="17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107515"/>
    <n v="0"/>
    <n v="107515"/>
    <n v="77065.86"/>
    <n v="77065.86"/>
    <n v="14500"/>
    <n v="0"/>
    <n v="14500"/>
    <n v="21029.26"/>
    <n v="6158.6"/>
    <n v="20878"/>
    <n v="0"/>
    <n v="0"/>
    <n v="0"/>
    <n v="0"/>
    <n v="0"/>
    <n v="0"/>
    <n v="14500"/>
    <n v="0"/>
    <n v="14500"/>
    <n v="21029.26"/>
    <n v="6158.6"/>
    <n v="20878"/>
    <n v="0"/>
    <n v="0"/>
    <n v="0"/>
    <n v="0"/>
    <n v="0"/>
    <n v="0"/>
    <n v="0"/>
    <n v="14500"/>
    <n v="14500"/>
    <n v="14500"/>
    <n v="6529.26"/>
    <n v="6158.6"/>
    <n v="20878"/>
    <n v="0"/>
    <n v="0"/>
    <n v="0"/>
    <n v="0"/>
    <n v="0"/>
    <n v="0"/>
    <n v="14500"/>
    <n v="14500"/>
    <n v="14500"/>
    <n v="6529.26"/>
    <n v="6158.6"/>
    <n v="20878"/>
    <n v="0"/>
    <n v="0"/>
    <n v="0"/>
    <n v="0"/>
    <n v="0"/>
    <x v="0"/>
    <x v="17"/>
    <x v="17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4. INTERVENCIONES QUIRURGICAS"/>
    <s v="20. SALUD"/>
    <s v="044. SALUD INDIVIDUAL"/>
    <s v="0097. ATENCION MEDICA ESPECIALIZADA"/>
    <s v="00001"/>
    <s v="0000257. ATENCION DE INTERVENCIONES QUIRURGICAS"/>
    <s v="00006 - ATENCION"/>
    <n v="20000"/>
    <n v="10000"/>
    <n v="8000"/>
    <n v="8000"/>
    <x v="37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36531"/>
    <n v="0"/>
    <n v="36531"/>
    <n v="20719.259999999998"/>
    <n v="20719.259999999998"/>
    <n v="1129"/>
    <n v="0"/>
    <n v="5529"/>
    <n v="6462.13"/>
    <n v="933.13"/>
    <n v="6666"/>
    <n v="0"/>
    <n v="0"/>
    <n v="0"/>
    <n v="0"/>
    <n v="0"/>
    <n v="0"/>
    <n v="1129"/>
    <n v="0"/>
    <n v="5529"/>
    <n v="6462.13"/>
    <n v="933.13"/>
    <n v="6666"/>
    <n v="0"/>
    <n v="0"/>
    <n v="0"/>
    <n v="0"/>
    <n v="0"/>
    <n v="0"/>
    <n v="0"/>
    <n v="1129"/>
    <n v="5529"/>
    <n v="5529"/>
    <n v="933.13"/>
    <n v="933.13"/>
    <n v="6666"/>
    <n v="0"/>
    <n v="0"/>
    <n v="0"/>
    <n v="0"/>
    <n v="0"/>
    <n v="0"/>
    <n v="1129"/>
    <n v="5529"/>
    <n v="5529"/>
    <n v="933.13"/>
    <n v="933.13"/>
    <n v="6666"/>
    <n v="0"/>
    <n v="0"/>
    <n v="0"/>
    <n v="0"/>
    <n v="0"/>
    <x v="0"/>
    <x v="17"/>
    <x v="17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6. OTRAS ATENCIONES DE SALUD ESPECIALIZADAS"/>
    <s v="20. SALUD"/>
    <s v="044. SALUD INDIVIDUAL"/>
    <s v="0097. ATENCION MEDICA ESPECIALIZADA"/>
    <s v="00001"/>
    <s v="0023484. ATENCION MEDICA ESPECIALIZADA"/>
    <s v="00006 - ATENCION"/>
    <n v="25000"/>
    <n v="12500"/>
    <n v="11000"/>
    <n v="11000"/>
    <x v="38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34797"/>
    <n v="0"/>
    <n v="34797"/>
    <n v="647.24"/>
    <n v="647.24"/>
    <n v="0"/>
    <n v="0"/>
    <n v="0"/>
    <n v="323.62"/>
    <n v="323.62"/>
    <n v="0"/>
    <n v="0"/>
    <n v="0"/>
    <n v="0"/>
    <n v="0"/>
    <n v="0"/>
    <n v="0"/>
    <n v="0"/>
    <n v="0"/>
    <n v="0"/>
    <n v="323.62"/>
    <n v="323.62"/>
    <n v="0"/>
    <n v="0"/>
    <n v="0"/>
    <n v="0"/>
    <n v="0"/>
    <n v="0"/>
    <n v="0"/>
    <n v="0"/>
    <n v="0"/>
    <n v="0"/>
    <n v="0"/>
    <n v="323.62"/>
    <n v="323.62"/>
    <n v="0"/>
    <n v="0"/>
    <n v="0"/>
    <n v="0"/>
    <n v="0"/>
    <n v="0"/>
    <n v="0"/>
    <n v="0"/>
    <n v="0"/>
    <n v="0"/>
    <n v="323.62"/>
    <n v="323.62"/>
    <n v="0"/>
    <n v="0"/>
    <n v="0"/>
    <n v="0"/>
    <n v="0"/>
    <n v="0"/>
    <x v="0"/>
    <x v="17"/>
    <x v="17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8. ATENCION DE CUIDADOS INTENSIVOS"/>
    <s v="20. SALUD"/>
    <s v="044. SALUD INDIVIDUAL"/>
    <s v="0097. ATENCION MEDICA ESPECIALIZADA"/>
    <s v="00001"/>
    <s v="0000268. ATENCION EN CUIDADOS INTENSIVOS"/>
    <s v="00006 - ATENCION"/>
    <n v="20000"/>
    <n v="10000"/>
    <n v="9800"/>
    <n v="9800"/>
    <x v="50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200"/>
    <n v="0"/>
    <n v="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7"/>
    <x v="17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9. COMERCIALIZACION DE MEDICAMENTOS E INSUMOS"/>
    <s v="20. SALUD"/>
    <s v="044. SALUD INDIVIDUAL"/>
    <s v="0098. SERVICIOS DE DIAGNOSTICO Y TRATAMIENTO"/>
    <s v="00001"/>
    <s v="0001468. VENTA DE MEDICINAS"/>
    <s v="00006 - ATENCION"/>
    <n v="500000"/>
    <n v="250000"/>
    <n v="225000"/>
    <n v="225000"/>
    <x v="39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25624"/>
    <n v="0"/>
    <n v="25624"/>
    <n v="19153.099999999999"/>
    <n v="19153.099999999999"/>
    <n v="2264"/>
    <n v="0"/>
    <n v="5264"/>
    <n v="7097.05"/>
    <n v="2264.0500000000002"/>
    <n v="2264"/>
    <n v="0"/>
    <n v="0"/>
    <n v="0"/>
    <n v="0"/>
    <n v="0"/>
    <n v="0"/>
    <n v="2264"/>
    <n v="0"/>
    <n v="5264"/>
    <n v="7097.05"/>
    <n v="2264.0500000000002"/>
    <n v="2264"/>
    <n v="0"/>
    <n v="0"/>
    <n v="0"/>
    <n v="0"/>
    <n v="0"/>
    <n v="0"/>
    <n v="0"/>
    <n v="2264"/>
    <n v="5264"/>
    <n v="4833"/>
    <n v="2264.0500000000002"/>
    <n v="2264.0500000000002"/>
    <n v="2264"/>
    <n v="0"/>
    <n v="0"/>
    <n v="0"/>
    <n v="0"/>
    <n v="0"/>
    <n v="0"/>
    <n v="2264"/>
    <n v="5264"/>
    <n v="4833"/>
    <n v="2264.0500000000002"/>
    <n v="2264.0500000000002"/>
    <n v="2264"/>
    <n v="0"/>
    <n v="0"/>
    <n v="0"/>
    <n v="0"/>
    <n v="0"/>
    <x v="0"/>
    <x v="17"/>
    <x v="17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2197. PRESTACIONES ADMINISTRATIVAS SUBSIDIADAS/NO TARIFADO"/>
    <s v="20. SALUD"/>
    <s v="044. SALUD INDIVIDUAL"/>
    <s v="0097. ATENCION MEDICA ESPECIALIZADA"/>
    <s v="00001"/>
    <s v="0002088. SEGURO INTEGRAL DE SALUD"/>
    <s v="00006 - ATENCION"/>
    <n v="50000"/>
    <n v="25000"/>
    <n v="26500"/>
    <n v="26500"/>
    <x v="40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31860"/>
    <n v="0"/>
    <n v="31860"/>
    <n v="22582.68"/>
    <n v="22582.68"/>
    <n v="3612"/>
    <n v="0"/>
    <n v="6612"/>
    <n v="6472.34"/>
    <n v="2943.34"/>
    <n v="2943"/>
    <n v="0"/>
    <n v="0"/>
    <n v="0"/>
    <n v="0"/>
    <n v="0"/>
    <n v="0"/>
    <n v="3612"/>
    <n v="0"/>
    <n v="6612"/>
    <n v="6472.34"/>
    <n v="2943.34"/>
    <n v="2943"/>
    <n v="0"/>
    <n v="0"/>
    <n v="0"/>
    <n v="0"/>
    <n v="0"/>
    <n v="0"/>
    <n v="0"/>
    <n v="3612"/>
    <n v="6612"/>
    <n v="3529"/>
    <n v="2943.34"/>
    <n v="2943.34"/>
    <n v="2942.16"/>
    <n v="0"/>
    <n v="0"/>
    <n v="0"/>
    <n v="0"/>
    <n v="0"/>
    <n v="0"/>
    <n v="3612"/>
    <n v="6612"/>
    <n v="3529"/>
    <n v="2943.34"/>
    <n v="2943.34"/>
    <n v="2942.16"/>
    <n v="0"/>
    <n v="0"/>
    <n v="0"/>
    <n v="0"/>
    <n v="0"/>
    <x v="0"/>
    <x v="17"/>
    <x v="17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0"/>
    <s v="00. RECURSOS ORDINARIOS"/>
    <s v="5. GASTOS CORRIENTES"/>
    <s v="2. GASTOS PRESUPUESTARIOS"/>
    <x v="0"/>
    <s v=" 3. CONTRIBUCIONES A LA SEGURIDAD SOCIAL"/>
    <s v=" 1. OBLIGACIONES DEL EMPLEADOR"/>
    <s v=" 1. OBLIGACIONES DEL EMPLEADOR"/>
    <s v=" 5. CONTRIBUCIONES A ESSALUD"/>
    <s v="0 . RECURSOS ORDINARIOS"/>
    <n v="81156"/>
    <n v="0"/>
    <n v="81156"/>
    <n v="57908.87"/>
    <n v="57908.87"/>
    <n v="8856"/>
    <n v="0"/>
    <n v="8856"/>
    <n v="17179.3"/>
    <n v="8323.57"/>
    <n v="14694"/>
    <n v="0"/>
    <n v="0"/>
    <n v="0"/>
    <n v="0"/>
    <n v="0"/>
    <n v="0"/>
    <n v="8856"/>
    <n v="0"/>
    <n v="8856"/>
    <n v="17179.3"/>
    <n v="8323.57"/>
    <n v="14694"/>
    <n v="0"/>
    <n v="0"/>
    <n v="0"/>
    <n v="0"/>
    <n v="0"/>
    <n v="0"/>
    <n v="0"/>
    <n v="8856"/>
    <n v="8856"/>
    <n v="8856"/>
    <n v="8323.2999999999993"/>
    <n v="8323.57"/>
    <n v="14694"/>
    <n v="0"/>
    <n v="0"/>
    <n v="0"/>
    <n v="0"/>
    <n v="0"/>
    <n v="0"/>
    <n v="8856"/>
    <n v="8856"/>
    <n v="8856"/>
    <n v="8323.2999999999993"/>
    <n v="8323.57"/>
    <n v="14694"/>
    <n v="0"/>
    <n v="0"/>
    <n v="0"/>
    <n v="0"/>
    <n v="0"/>
    <x v="0"/>
    <x v="17"/>
    <x v="17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991. OBLIGACIONES PREVISIONALES"/>
    <s v="24. PREVISION SOCIAL"/>
    <s v="052. PREVISION SOCIAL"/>
    <s v="0116. SISTEMAS DE PENSIONES"/>
    <s v="00001"/>
    <s v="0001154. PAGO DE PENSIONES Y BENEFICIOS A CESANTES Y JUBILADOS"/>
    <s v="00137 - PLANILLA"/>
    <n v="12"/>
    <n v="6"/>
    <n v="6"/>
    <n v="6"/>
    <x v="54"/>
    <s v="05. AYACUCHO"/>
    <s v="01. HUAMANGA"/>
    <s v="01. AYACUCHO"/>
    <x v="0"/>
    <s v="00. RECURSOS ORDINARIOS"/>
    <s v="5. GASTOS CORRIENTES"/>
    <s v="2. GASTOS PRESUPUESTARIOS"/>
    <x v="1"/>
    <s v=" 1. PENSIONES"/>
    <s v=" 1. PENSIONES"/>
    <s v=" 1. PENSIONES"/>
    <s v=" 1. REGIMEN DE PENSIONES DL. 20530"/>
    <s v="0 . RECURSOS ORDINARIOS"/>
    <n v="14982"/>
    <n v="360"/>
    <n v="15342"/>
    <n v="14982"/>
    <n v="14982"/>
    <n v="1278.48"/>
    <n v="1308.48"/>
    <n v="1308.48"/>
    <n v="1278.48"/>
    <n v="1338.48"/>
    <n v="1308.48"/>
    <n v="1308.48"/>
    <n v="0"/>
    <n v="0"/>
    <n v="0"/>
    <n v="0"/>
    <n v="0"/>
    <n v="1278.48"/>
    <n v="1308.48"/>
    <n v="1308.48"/>
    <n v="1278.48"/>
    <n v="1338.48"/>
    <n v="1308.48"/>
    <n v="1308.48"/>
    <n v="0"/>
    <n v="0"/>
    <n v="0"/>
    <n v="0"/>
    <n v="0"/>
    <n v="0"/>
    <n v="1278.48"/>
    <n v="2565.96"/>
    <n v="51"/>
    <n v="2616.96"/>
    <n v="1308.48"/>
    <n v="1308.48"/>
    <n v="0"/>
    <n v="0"/>
    <n v="0"/>
    <n v="0"/>
    <n v="0"/>
    <n v="0"/>
    <n v="1278.48"/>
    <n v="2565.96"/>
    <n v="51"/>
    <n v="2616.96"/>
    <n v="1308.48"/>
    <n v="1308.48"/>
    <n v="0"/>
    <n v="0"/>
    <n v="0"/>
    <n v="0"/>
    <n v="0"/>
    <x v="0"/>
    <x v="18"/>
    <x v="18"/>
    <x v="2"/>
    <x v="1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991. OBLIGACIONES PREVISIONALES"/>
    <s v="24. PREVISION SOCIAL"/>
    <s v="052. PREVISION SOCIAL"/>
    <s v="0116. SISTEMAS DE PENSIONES"/>
    <s v="00001"/>
    <s v="0001154. PAGO DE PENSIONES Y BENEFICIOS A CESANTES Y JUBILADOS"/>
    <s v="00137 - PLANILLA"/>
    <n v="12"/>
    <n v="6"/>
    <n v="6"/>
    <n v="6"/>
    <x v="54"/>
    <s v="05. AYACUCHO"/>
    <s v="01. HUAMANGA"/>
    <s v="01. AYACUCHO"/>
    <x v="0"/>
    <s v="00. RECURSOS ORDINARIOS"/>
    <s v="5. GASTOS CORRIENTES"/>
    <s v="2. GASTOS PRESUPUESTARIOS"/>
    <x v="1"/>
    <s v=" 1. PENSIONES"/>
    <s v=" 1. PENSIONES"/>
    <s v=" 2. OTRAS COMPENSACIONES"/>
    <s v=" 1. ESCOLARIDAD, AGUINALDOS Y GRATIFICACIONES"/>
    <s v="0 . RECURSOS ORDINARIOS"/>
    <n v="1000"/>
    <n v="0"/>
    <n v="1000"/>
    <n v="1000"/>
    <n v="1000"/>
    <n v="400"/>
    <n v="0"/>
    <n v="0"/>
    <n v="0"/>
    <n v="0"/>
    <n v="0"/>
    <n v="300"/>
    <n v="0"/>
    <n v="0"/>
    <n v="0"/>
    <n v="0"/>
    <n v="0"/>
    <n v="400"/>
    <n v="0"/>
    <n v="0"/>
    <n v="0"/>
    <n v="0"/>
    <n v="0"/>
    <n v="300"/>
    <n v="0"/>
    <n v="0"/>
    <n v="0"/>
    <n v="0"/>
    <n v="0"/>
    <n v="0"/>
    <n v="400"/>
    <n v="0"/>
    <n v="0"/>
    <n v="0"/>
    <n v="0"/>
    <n v="300"/>
    <n v="0"/>
    <n v="0"/>
    <n v="0"/>
    <n v="0"/>
    <n v="0"/>
    <n v="0"/>
    <n v="400"/>
    <n v="0"/>
    <n v="0"/>
    <n v="0"/>
    <n v="0"/>
    <n v="300"/>
    <n v="0"/>
    <n v="0"/>
    <n v="0"/>
    <n v="0"/>
    <n v="0"/>
    <x v="0"/>
    <x v="19"/>
    <x v="19"/>
    <x v="2"/>
    <x v="1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5. GESTION DE RECURSOS HUMANOS"/>
    <s v="20. SALUD"/>
    <s v="006. GESTION"/>
    <s v="0011. PREPARACION Y PERFECCIONAMIENTO DE RECURSOS HUMANOS"/>
    <s v="00001"/>
    <s v="0053571. GESTION DE RECURSOS HUMANOS"/>
    <s v="00001 - ACCION"/>
    <n v="2426"/>
    <n v="1213"/>
    <n v="124"/>
    <n v="124"/>
    <x v="3"/>
    <s v="05. AYACUCHO"/>
    <s v="01. HUAMANGA"/>
    <s v="01. AYACUCHO"/>
    <x v="0"/>
    <s v="00. RECURSOS ORDINARIOS"/>
    <s v="5. GASTOS CORRIENTES"/>
    <s v="2. GASTOS PRESUPUESTARIOS"/>
    <x v="1"/>
    <s v=" 2. PRESTACIONES Y ASISTENCIA SOCIAL"/>
    <s v=" 3. ENTREGA DE BIENES Y SERVICIOS"/>
    <s v=" 4. OTRAS PRESTACIONES DEL EMPLEADOR"/>
    <s v=" 2. GASTOS DE SEPELIO Y LUTO DEL PERSONAL ACTIVO"/>
    <s v="0 . RECURSOS ORDINARIOS"/>
    <n v="0"/>
    <n v="48000"/>
    <n v="48000"/>
    <n v="48000"/>
    <n v="48000"/>
    <n v="0"/>
    <n v="0"/>
    <n v="0"/>
    <n v="0"/>
    <n v="0"/>
    <n v="48000"/>
    <n v="0"/>
    <n v="0"/>
    <n v="0"/>
    <n v="0"/>
    <n v="0"/>
    <n v="0"/>
    <n v="0"/>
    <n v="0"/>
    <n v="0"/>
    <n v="0"/>
    <n v="0"/>
    <n v="48000"/>
    <n v="0"/>
    <n v="0"/>
    <n v="0"/>
    <n v="0"/>
    <n v="0"/>
    <n v="0"/>
    <n v="0"/>
    <n v="0"/>
    <n v="0"/>
    <n v="0"/>
    <n v="0"/>
    <n v="0"/>
    <n v="47313.440000000002"/>
    <n v="0"/>
    <n v="0"/>
    <n v="0"/>
    <n v="0"/>
    <n v="0"/>
    <n v="0"/>
    <n v="0"/>
    <n v="0"/>
    <n v="0"/>
    <n v="0"/>
    <n v="0"/>
    <n v="44313.440000000002"/>
    <n v="0"/>
    <n v="0"/>
    <n v="0"/>
    <n v="0"/>
    <n v="0"/>
    <x v="0"/>
    <x v="20"/>
    <x v="20"/>
    <x v="1"/>
    <x v="1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70."/>
    <s v="5.ACTIVIDAD"/>
    <s v="5000080. BRINDAR TRATAMIENTO OPORTUNO A MUJERES GESTANTES REACTIVAS Y NIÑOS EXPUESTOS AL VIH"/>
    <s v="20. SALUD"/>
    <s v="044. SALUD INDIVIDUAL"/>
    <s v="0096. ATENCION MEDICA BASICA"/>
    <s v="00001"/>
    <s v="0136039. BRINDAR TRATAMIENTO OPORTUNO A MUJERES GESTANTES REACTIVAS Y NIÑOS EXPUESTOS AL VIH"/>
    <s v="00207 - GESTANTE ATENDIDA"/>
    <n v="13"/>
    <n v="7"/>
    <n v="6"/>
    <n v="6"/>
    <x v="21"/>
    <s v="05. AYACUCHO"/>
    <s v="01. HUAMANGA"/>
    <s v="01. AYACUCHO"/>
    <x v="0"/>
    <s v="00. RECURSOS ORDINARIOS"/>
    <s v="5. GASTOS CORRIENTES"/>
    <s v="2. GASTOS PRESUPUESTARIOS"/>
    <x v="2"/>
    <s v=" 1. COMPRA DE BIENES"/>
    <s v=" 1. ALIMENTOS Y BEBIDAS"/>
    <s v=" 1. ALIMENTOS Y BEBIDAS"/>
    <s v=" 1. ALIMENTOS Y BEBIDAS PARA CONSUMO HUMANO"/>
    <s v="0 . RECURSOS ORDINARIOS"/>
    <n v="7500"/>
    <n v="4713"/>
    <n v="12213"/>
    <n v="7500"/>
    <n v="7500"/>
    <n v="0"/>
    <n v="0"/>
    <n v="0"/>
    <n v="7500"/>
    <n v="0"/>
    <n v="0"/>
    <n v="0"/>
    <n v="0"/>
    <n v="0"/>
    <n v="0"/>
    <n v="0"/>
    <n v="0"/>
    <n v="0"/>
    <n v="0"/>
    <n v="0"/>
    <n v="7500"/>
    <n v="0"/>
    <n v="0"/>
    <n v="0"/>
    <n v="0"/>
    <n v="0"/>
    <n v="0"/>
    <n v="0"/>
    <n v="0"/>
    <n v="0"/>
    <n v="0"/>
    <n v="0"/>
    <n v="0"/>
    <n v="7500"/>
    <n v="0"/>
    <n v="0"/>
    <n v="0"/>
    <n v="0"/>
    <n v="0"/>
    <n v="0"/>
    <n v="0"/>
    <n v="0"/>
    <n v="0"/>
    <n v="0"/>
    <n v="0"/>
    <n v="7500"/>
    <n v="0"/>
    <n v="0"/>
    <n v="0"/>
    <n v="0"/>
    <n v="0"/>
    <n v="0"/>
    <n v="0"/>
    <x v="0"/>
    <x v="21"/>
    <x v="21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01."/>
    <s v="5.ACTIVIDAD"/>
    <s v="5004452. MONITOREO, SUPERVISION, EVALUACION Y CONTROL DE ENFERMEDADES NO TRANSMISIBLES"/>
    <s v="20. SALUD"/>
    <s v="004. PLANEAMIENTO GUBERNAMENTAL"/>
    <s v="0005. PLANEAMIENTO INSTITUCIONAL"/>
    <s v="00001"/>
    <s v="0043985. MONITOREO, SUPERVISION, EVALUACION Y CONTROL DE ENFERMEDADES NO TRASMISIBLES"/>
    <s v="00060 - INFORME"/>
    <n v="6"/>
    <n v="3"/>
    <n v="3"/>
    <n v="3"/>
    <x v="55"/>
    <s v="05. AYACUCHO"/>
    <s v="01. HUAMANGA"/>
    <s v="01. AYACUCHO"/>
    <x v="0"/>
    <s v="00. RECURSOS ORDINARIOS"/>
    <s v="5. GASTOS CORRIENTES"/>
    <s v="2. GASTOS PRESUPUESTARIOS"/>
    <x v="2"/>
    <s v=" 1. COMPRA DE BIENES"/>
    <s v=" 1. ALIMENTOS Y BEBIDAS"/>
    <s v=" 1. ALIMENTOS Y BEBIDAS"/>
    <s v=" 1. ALIMENTOS Y BEBIDAS PARA CONSUMO HUMANO"/>
    <s v="0 . RECURSOS ORDINARIOS"/>
    <n v="800"/>
    <n v="0"/>
    <n v="800"/>
    <n v="435"/>
    <n v="435"/>
    <n v="0"/>
    <n v="0"/>
    <n v="294"/>
    <n v="0"/>
    <n v="141"/>
    <n v="0"/>
    <n v="0"/>
    <n v="0"/>
    <n v="0"/>
    <n v="0"/>
    <n v="0"/>
    <n v="0"/>
    <n v="0"/>
    <n v="0"/>
    <n v="294"/>
    <n v="0"/>
    <n v="0"/>
    <n v="141"/>
    <n v="0"/>
    <n v="0"/>
    <n v="0"/>
    <n v="0"/>
    <n v="0"/>
    <n v="0"/>
    <n v="0"/>
    <n v="0"/>
    <n v="294"/>
    <n v="0"/>
    <n v="0"/>
    <n v="141"/>
    <n v="0"/>
    <n v="0"/>
    <n v="0"/>
    <n v="0"/>
    <n v="0"/>
    <n v="0"/>
    <n v="0"/>
    <n v="0"/>
    <n v="294"/>
    <n v="0"/>
    <n v="0"/>
    <n v="141"/>
    <n v="0"/>
    <n v="0"/>
    <n v="0"/>
    <n v="0"/>
    <n v="0"/>
    <n v="0"/>
    <x v="0"/>
    <x v="21"/>
    <x v="21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734."/>
    <s v="5.ACTIVIDAD"/>
    <s v="5005560. DESARROLLO DE SIMULACROS EN GESTION REACTIVA"/>
    <s v="20. SALUD"/>
    <s v="016. GESTION DE RIESGOS Y EMERGENCIAS"/>
    <s v="0036. ATENCION INMEDIATA DE DESASTRES"/>
    <s v="00001"/>
    <s v="0160776. DESARROLLO DE SIMULACROS EN GESTION REACTIVA"/>
    <s v="00248 - REPORTE"/>
    <n v="3"/>
    <n v="2"/>
    <n v="1"/>
    <n v="1"/>
    <x v="56"/>
    <s v="05. AYACUCHO"/>
    <s v="01. HUAMANGA"/>
    <s v="01. AYACUCHO"/>
    <x v="0"/>
    <s v="00. RECURSOS ORDINARIOS"/>
    <s v="5. GASTOS CORRIENTES"/>
    <s v="2. GASTOS PRESUPUESTARIOS"/>
    <x v="2"/>
    <s v=" 1. COMPRA DE BIENES"/>
    <s v=" 1. ALIMENTOS Y BEBIDAS"/>
    <s v=" 1. ALIMENTOS Y BEBIDAS"/>
    <s v=" 1. ALIMENTOS Y BEBIDAS PARA CONSUMO HUMANO"/>
    <s v="0 . RECURSOS ORDINARIOS"/>
    <n v="5000"/>
    <n v="0"/>
    <n v="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1"/>
    <x v="21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734."/>
    <s v="5.ACTIVIDAD"/>
    <s v="5005561. IMPLEMENTACION DE BRIGADAS PARA LA ATENCION FRENTE A EMERGENCIAS Y DESASTRES"/>
    <s v="20. SALUD"/>
    <s v="016. GESTION DE RIESGOS Y EMERGENCIAS"/>
    <s v="0036. ATENCION INMEDIATA DE DESASTRES"/>
    <s v="00001"/>
    <s v="0160777. IMPLEMENTACION DE BRIGADAS PARA LA ATENCION FRENTE A EMERGENCIAS Y DESASTRES"/>
    <s v="00583 - BRIGADA"/>
    <n v="2"/>
    <n v="1"/>
    <n v="0"/>
    <n v="0"/>
    <x v="57"/>
    <s v="05. AYACUCHO"/>
    <s v="01. HUAMANGA"/>
    <s v="01. AYACUCHO"/>
    <x v="0"/>
    <s v="00. RECURSOS ORDINARIOS"/>
    <s v="5. GASTOS CORRIENTES"/>
    <s v="2. GASTOS PRESUPUESTARIOS"/>
    <x v="2"/>
    <s v=" 1. COMPRA DE BIENES"/>
    <s v=" 1. ALIMENTOS Y BEBIDAS"/>
    <s v=" 1. ALIMENTOS Y BEBIDAS"/>
    <s v=" 1. ALIMENTOS Y BEBIDAS PARA CONSUMO HUMANO"/>
    <s v="0 . RECURSOS ORDINARIOS"/>
    <n v="8000"/>
    <n v="0"/>
    <n v="8000"/>
    <n v="4261.3999999999996"/>
    <n v="4261.3999999999996"/>
    <n v="0"/>
    <n v="0"/>
    <n v="0"/>
    <n v="0"/>
    <n v="4261.3999999999996"/>
    <n v="0"/>
    <n v="0"/>
    <n v="0"/>
    <n v="0"/>
    <n v="0"/>
    <n v="0"/>
    <n v="0"/>
    <n v="0"/>
    <n v="0"/>
    <n v="0"/>
    <n v="0"/>
    <n v="0"/>
    <n v="4261.3999999999996"/>
    <n v="0"/>
    <n v="0"/>
    <n v="0"/>
    <n v="0"/>
    <n v="0"/>
    <n v="0"/>
    <n v="0"/>
    <n v="0"/>
    <n v="0"/>
    <n v="0"/>
    <n v="0"/>
    <n v="4261.3999999999996"/>
    <n v="0"/>
    <n v="0"/>
    <n v="0"/>
    <n v="0"/>
    <n v="0"/>
    <n v="0"/>
    <n v="0"/>
    <n v="0"/>
    <n v="0"/>
    <n v="0"/>
    <n v="0"/>
    <n v="4261.3999999999996"/>
    <n v="0"/>
    <n v="0"/>
    <n v="0"/>
    <n v="0"/>
    <n v="0"/>
    <n v="0"/>
    <x v="0"/>
    <x v="21"/>
    <x v="21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734."/>
    <s v="5.ACTIVIDAD"/>
    <s v="5005612. DESARROLLO DE LOS CENTROS Y ESPACIOS DE MONITOREO DE EMERGENCIAS Y DESASTRES"/>
    <s v="20. SALUD"/>
    <s v="016. GESTION DE RIESGOS Y EMERGENCIAS"/>
    <s v="0036. ATENCION INMEDIATA DE DESASTRES"/>
    <s v="00001"/>
    <s v="0160879. DESARROLLO DE LOS CENTROS Y ESPACIOS DE MONITOREO DE EMERGENCIAS Y DESASTRES"/>
    <s v="00248 - REPORTE"/>
    <n v="12"/>
    <n v="6"/>
    <n v="6"/>
    <n v="6"/>
    <x v="26"/>
    <s v="05. AYACUCHO"/>
    <s v="01. HUAMANGA"/>
    <s v="01. AYACUCHO"/>
    <x v="0"/>
    <s v="00. RECURSOS ORDINARIOS"/>
    <s v="5. GASTOS CORRIENTES"/>
    <s v="2. GASTOS PRESUPUESTARIOS"/>
    <x v="2"/>
    <s v=" 1. COMPRA DE BIENES"/>
    <s v=" 1. ALIMENTOS Y BEBIDAS"/>
    <s v=" 1. ALIMENTOS Y BEBIDAS"/>
    <s v=" 1. ALIMENTOS Y BEBIDAS PARA CONSUMO HUMANO"/>
    <s v="0 . RECURSOS ORDINARIOS"/>
    <n v="5000"/>
    <n v="0"/>
    <n v="5000"/>
    <n v="548.70000000000005"/>
    <n v="548.70000000000005"/>
    <n v="0"/>
    <n v="0"/>
    <n v="0"/>
    <n v="548.70000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1"/>
    <x v="21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738."/>
    <s v="5.ACTIVIDAD"/>
    <s v="5005580. FORMACION Y CAPACITACION EN MATERIA DE GESTION DE RIESGO DE DESASTRES Y ADAPTACION AL CAMBIO CLIMATICO"/>
    <s v="20. SALUD"/>
    <s v="016. GESTION DE RIESGOS Y EMERGENCIAS"/>
    <s v="0035. PREVENCION DE DESASTRES"/>
    <s v="00001"/>
    <s v="0160796. FORMACION Y CAPACITACION EN MATERIA DE GESTION DE RIESGO DE DESASTRES"/>
    <s v="00086 - PERSONA"/>
    <n v="150"/>
    <n v="75"/>
    <n v="109"/>
    <n v="109"/>
    <x v="58"/>
    <s v="05. AYACUCHO"/>
    <s v="01. HUAMANGA"/>
    <s v="01. AYACUCHO"/>
    <x v="0"/>
    <s v="00. RECURSOS ORDINARIOS"/>
    <s v="5. GASTOS CORRIENTES"/>
    <s v="2. GASTOS PRESUPUESTARIOS"/>
    <x v="2"/>
    <s v=" 1. COMPRA DE BIENES"/>
    <s v=" 1. ALIMENTOS Y BEBIDAS"/>
    <s v=" 1. ALIMENTOS Y BEBIDAS"/>
    <s v=" 1. ALIMENTOS Y BEBIDAS PARA CONSUMO HUMANO"/>
    <s v="0 . RECURSOS ORDINARIOS"/>
    <n v="5000"/>
    <n v="0"/>
    <n v="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1"/>
    <x v="21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0"/>
    <s v="00. RECURSOS ORDINARIOS"/>
    <s v="5. GASTOS CORRIENTES"/>
    <s v="2. GASTOS PRESUPUESTARIOS"/>
    <x v="2"/>
    <s v=" 1. COMPRA DE BIENES"/>
    <s v=" 1. ALIMENTOS Y BEBIDAS"/>
    <s v=" 1. ALIMENTOS Y BEBIDAS"/>
    <s v=" 1. ALIMENTOS Y BEBIDAS PARA CONSUMO HUMANO"/>
    <s v="0 . RECURSOS ORDINARIOS"/>
    <n v="8954"/>
    <n v="0"/>
    <n v="89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1"/>
    <x v="21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0"/>
    <s v="00. RECURSOS ORDINARIOS"/>
    <s v="5. GASTOS CORRIENTES"/>
    <s v="2. GASTOS PRESUPUESTARIOS"/>
    <x v="2"/>
    <s v=" 1. COMPRA DE BIENES"/>
    <s v=" 1. ALIMENTOS Y BEBIDAS"/>
    <s v=" 1. ALIMENTOS Y BEBIDAS"/>
    <s v=" 1. ALIMENTOS Y BEBIDAS PARA CONSUMO HUMANO"/>
    <s v="0 . RECURSOS ORDINARIOS"/>
    <n v="2055704"/>
    <n v="0"/>
    <n v="2055704"/>
    <n v="1965537.2"/>
    <n v="668154.19999999995"/>
    <n v="0"/>
    <n v="0"/>
    <n v="116970.2"/>
    <n v="121745.74"/>
    <n v="0"/>
    <n v="262124.25"/>
    <n v="77981.960000000006"/>
    <n v="0"/>
    <n v="0"/>
    <n v="0"/>
    <n v="0"/>
    <n v="0"/>
    <n v="0"/>
    <n v="0"/>
    <n v="116970.2"/>
    <n v="82548.34"/>
    <n v="0"/>
    <n v="114430.25"/>
    <n v="167499.35999999999"/>
    <n v="0"/>
    <n v="0"/>
    <n v="0"/>
    <n v="0"/>
    <n v="0"/>
    <n v="0"/>
    <n v="0"/>
    <n v="0"/>
    <n v="116970.2"/>
    <n v="82548.34"/>
    <n v="75232.850000000006"/>
    <n v="89517.4"/>
    <n v="0"/>
    <n v="0"/>
    <n v="0"/>
    <n v="0"/>
    <n v="0"/>
    <n v="0"/>
    <n v="0"/>
    <n v="0"/>
    <n v="116970.2"/>
    <n v="82548.34"/>
    <n v="75232.850000000006"/>
    <n v="89517.4"/>
    <n v="0"/>
    <n v="0"/>
    <n v="0"/>
    <n v="0"/>
    <n v="0"/>
    <x v="0"/>
    <x v="21"/>
    <x v="21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254."/>
    <s v="5.ACTIVIDAD"/>
    <s v="5000017. APLICACION DE VACUNAS COMPLETAS"/>
    <s v="20. SALUD"/>
    <s v="044. SALUD INDIVIDUAL"/>
    <s v="0096. ATENCION MEDICA BASICA"/>
    <s v="00001"/>
    <s v="0033254. NIÑOS CON VACUNA COMPLETA"/>
    <s v="00218 - NIÑO PROTEGIDO"/>
    <n v="3576"/>
    <n v="1788"/>
    <n v="1160"/>
    <n v="1160"/>
    <x v="59"/>
    <s v="05. AYACUCHO"/>
    <s v="01. HUAMANGA"/>
    <s v="01. AYACUCHO"/>
    <x v="0"/>
    <s v="00. RECURSOS ORDINARIOS"/>
    <s v="5. GASTOS CORRIENTES"/>
    <s v="2. GASTOS PRESUPUESTARIOS"/>
    <x v="2"/>
    <s v=" 1. COMPRA DE BIENES"/>
    <s v=" 2. VESTUARIOS Y TEXTILES"/>
    <s v=" 1. VESTUARIO, ZAPATERIA Y ACCESORIOS, TALABARTERIA Y MATERIALES TEXTILES"/>
    <s v=" 1. VESTUARIO, ACCESORIOS Y PRENDAS DIVERSAS"/>
    <s v="0 . RECURSOS ORDINARIOS"/>
    <n v="2500"/>
    <n v="0"/>
    <n v="2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2"/>
    <x v="22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61."/>
    <s v="5.ACTIVIDAD"/>
    <s v="5000071. BRINDAR INFORMACION Y ATENCION PREVENTIVA A POBLACION DE ALTO RIESGO"/>
    <s v="20. SALUD"/>
    <s v="043. SALUD COLECTIVA"/>
    <s v="0095. CONTROL DE RIESGOS Y DAÑOS PARA LA SALUD"/>
    <s v="00001"/>
    <s v="0043961. POBLACION DE ALTO RIESGO RECIBE INFORMACION Y ATENCION PREVENTIVA"/>
    <s v="00438 - PULGADAS"/>
    <n v="400"/>
    <n v="200"/>
    <n v="26"/>
    <n v="26"/>
    <x v="60"/>
    <s v="05. AYACUCHO"/>
    <s v="01. HUAMANGA"/>
    <s v="01. AYACUCHO"/>
    <x v="0"/>
    <s v="00. RECURSOS ORDINARIOS"/>
    <s v="5. GASTOS CORRIENTES"/>
    <s v="2. GASTOS PRESUPUESTARIOS"/>
    <x v="2"/>
    <s v=" 1. COMPRA DE BIENES"/>
    <s v=" 2. VESTUARIOS Y TEXTILES"/>
    <s v=" 1. VESTUARIO, ZAPATERIA Y ACCESORIOS, TALABARTERIA Y MATERIALES TEXTILES"/>
    <s v=" 1. VESTUARIO, ACCESORIOS Y PRENDAS DIVERSAS"/>
    <s v="0 . RECURSOS ORDINARIOS"/>
    <n v="2000"/>
    <n v="0"/>
    <n v="2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2"/>
    <x v="22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72."/>
    <s v="5.ACTIVIDAD"/>
    <s v="5000082. BRINDAR TRATAMIENTO OPORTUNO A PERSONAS QUE ACCEDEN AL EESS Y RECIBE TRATAMIENTO PARA TUBERCULOSIS EXTREMADAMENTE DROGO RESISTENTE (XDR)"/>
    <s v="20. SALUD"/>
    <s v="044. SALUD INDIVIDUAL"/>
    <s v="0097. ATENCION MEDICA ESPECIALIZADA"/>
    <s v="00001"/>
    <s v="0136041. BRINDAR TRATAMIENTO OPORTUNO A PERSONAS QUE ACCEDEN AL EESS Y RECIBE TRATAMIENTO PARA TUBERCULOSIS EXTREMADAMENTE DROGO RESISTENTE (XDR)"/>
    <s v="00394 - TECNICO"/>
    <n v="12"/>
    <n v="6"/>
    <n v="4"/>
    <n v="4"/>
    <x v="61"/>
    <s v="05. AYACUCHO"/>
    <s v="01. HUAMANGA"/>
    <s v="01. AYACUCHO"/>
    <x v="0"/>
    <s v="00. RECURSOS ORDINARIOS"/>
    <s v="5. GASTOS CORRIENTES"/>
    <s v="2. GASTOS PRESUPUESTARIOS"/>
    <x v="2"/>
    <s v=" 1. COMPRA DE BIENES"/>
    <s v=" 2. VESTUARIOS Y TEXTILES"/>
    <s v=" 1. VESTUARIO, ZAPATERIA Y ACCESORIOS, TALABARTERIA Y MATERIALES TEXTILES"/>
    <s v=" 1. VESTUARIO, ACCESORIOS Y PRENDAS DIVERSAS"/>
    <s v="0 . RECURSOS ORDINARIOS"/>
    <n v="2500"/>
    <n v="0"/>
    <n v="2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2"/>
    <x v="22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734."/>
    <s v="5.ACTIVIDAD"/>
    <s v="5005560. DESARROLLO DE SIMULACROS EN GESTION REACTIVA"/>
    <s v="20. SALUD"/>
    <s v="016. GESTION DE RIESGOS Y EMERGENCIAS"/>
    <s v="0036. ATENCION INMEDIATA DE DESASTRES"/>
    <s v="00001"/>
    <s v="0160776. DESARROLLO DE SIMULACROS EN GESTION REACTIVA"/>
    <s v="00248 - REPORTE"/>
    <n v="3"/>
    <n v="2"/>
    <n v="1"/>
    <n v="1"/>
    <x v="56"/>
    <s v="05. AYACUCHO"/>
    <s v="01. HUAMANGA"/>
    <s v="01. AYACUCHO"/>
    <x v="0"/>
    <s v="00. RECURSOS ORDINARIOS"/>
    <s v="5. GASTOS CORRIENTES"/>
    <s v="2. GASTOS PRESUPUESTARIOS"/>
    <x v="2"/>
    <s v=" 1. COMPRA DE BIENES"/>
    <s v=" 2. VESTUARIOS Y TEXTILES"/>
    <s v=" 1. VESTUARIO, ZAPATERIA Y ACCESORIOS, TALABARTERIA Y MATERIALES TEXTILES"/>
    <s v=" 1. VESTUARIO, ACCESORIOS Y PRENDAS DIVERSAS"/>
    <s v="0 . RECURSOS ORDINARIOS"/>
    <n v="2000"/>
    <n v="0"/>
    <n v="2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2"/>
    <x v="22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734."/>
    <s v="5.ACTIVIDAD"/>
    <s v="5005561. IMPLEMENTACION DE BRIGADAS PARA LA ATENCION FRENTE A EMERGENCIAS Y DESASTRES"/>
    <s v="20. SALUD"/>
    <s v="016. GESTION DE RIESGOS Y EMERGENCIAS"/>
    <s v="0036. ATENCION INMEDIATA DE DESASTRES"/>
    <s v="00001"/>
    <s v="0160777. IMPLEMENTACION DE BRIGADAS PARA LA ATENCION FRENTE A EMERGENCIAS Y DESASTRES"/>
    <s v="00583 - BRIGADA"/>
    <n v="2"/>
    <n v="1"/>
    <n v="0"/>
    <n v="0"/>
    <x v="57"/>
    <s v="05. AYACUCHO"/>
    <s v="01. HUAMANGA"/>
    <s v="01. AYACUCHO"/>
    <x v="0"/>
    <s v="00. RECURSOS ORDINARIOS"/>
    <s v="5. GASTOS CORRIENTES"/>
    <s v="2. GASTOS PRESUPUESTARIOS"/>
    <x v="2"/>
    <s v=" 1. COMPRA DE BIENES"/>
    <s v=" 2. VESTUARIOS Y TEXTILES"/>
    <s v=" 1. VESTUARIO, ZAPATERIA Y ACCESORIOS, TALABARTERIA Y MATERIALES TEXTILES"/>
    <s v=" 1. VESTUARIO, ACCESORIOS Y PRENDAS DIVERSAS"/>
    <s v="0 . RECURSOS ORDINARIOS"/>
    <n v="25000"/>
    <n v="0"/>
    <n v="25000"/>
    <n v="1250"/>
    <n v="1250"/>
    <n v="0"/>
    <n v="0"/>
    <n v="0"/>
    <n v="0"/>
    <n v="0"/>
    <n v="1250"/>
    <n v="0"/>
    <n v="0"/>
    <n v="0"/>
    <n v="0"/>
    <n v="0"/>
    <n v="0"/>
    <n v="0"/>
    <n v="0"/>
    <n v="0"/>
    <n v="0"/>
    <n v="0"/>
    <n v="0"/>
    <n v="1250"/>
    <n v="0"/>
    <n v="0"/>
    <n v="0"/>
    <n v="0"/>
    <n v="0"/>
    <n v="0"/>
    <n v="0"/>
    <n v="0"/>
    <n v="0"/>
    <n v="0"/>
    <n v="0"/>
    <n v="1250"/>
    <n v="0"/>
    <n v="0"/>
    <n v="0"/>
    <n v="0"/>
    <n v="0"/>
    <n v="0"/>
    <n v="0"/>
    <n v="0"/>
    <n v="0"/>
    <n v="0"/>
    <n v="0"/>
    <n v="1250"/>
    <n v="0"/>
    <n v="0"/>
    <n v="0"/>
    <n v="0"/>
    <n v="0"/>
    <x v="0"/>
    <x v="22"/>
    <x v="22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740."/>
    <s v="5.ACTIVIDAD"/>
    <s v="5005585. SEGURIDAD FISICO FUNCIONAL DE SERVICIOS PUBLICOS"/>
    <s v="20. SALUD"/>
    <s v="016. GESTION DE RIESGOS Y EMERGENCIAS"/>
    <s v="0035. PREVENCION DE DESASTRES"/>
    <s v="00001"/>
    <s v="0160801. SEGURIDAD FISICO FUNCIONAL DE SERVICIOS PUBLICOS"/>
    <s v="00065 - INTERVENCION"/>
    <n v="4"/>
    <n v="2"/>
    <n v="2"/>
    <n v="2"/>
    <x v="62"/>
    <s v="05. AYACUCHO"/>
    <s v="01. HUAMANGA"/>
    <s v="01. AYACUCHO"/>
    <x v="0"/>
    <s v="00. RECURSOS ORDINARIOS"/>
    <s v="5. GASTOS CORRIENTES"/>
    <s v="2. GASTOS PRESUPUESTARIOS"/>
    <x v="2"/>
    <s v=" 1. COMPRA DE BIENES"/>
    <s v=" 2. VESTUARIOS Y TEXTILES"/>
    <s v=" 1. VESTUARIO, ZAPATERIA Y ACCESORIOS, TALABARTERIA Y MATERIALES TEXTILES"/>
    <s v=" 1. VESTUARIO, ACCESORIOS Y PRENDAS DIVERSAS"/>
    <s v="0 . RECURSOS ORDINARIOS"/>
    <n v="15000"/>
    <n v="0"/>
    <n v="1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2"/>
    <x v="22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700."/>
    <s v="5.ACTIVIDAD"/>
    <s v="5005190. TRATAMIENTO AMBULATORIO DE PERSONAS CON TRANSTORNOS AFECTIVOS (DEPRESION Y CONDUCTA SUICIDA) Y DE ANSIEDAD"/>
    <s v="20. SALUD"/>
    <s v="044. SALUD INDIVIDUAL"/>
    <s v="0097. ATENCION MEDICA ESPECIALIZADA"/>
    <s v="00001"/>
    <s v="0136782. TRATAMIENTO AMBULATORIO DEPERSONAS CON TRASTORNOS AFECTIVOS (DEPRESION Y CONDUCTA SUICIDA) Y DE ANSIEDAD"/>
    <s v="00394 - TECNICO"/>
    <n v="80"/>
    <n v="40"/>
    <n v="16"/>
    <n v="16"/>
    <x v="63"/>
    <s v="05. AYACUCHO"/>
    <s v="01. HUAMANGA"/>
    <s v="01. AYACUCHO"/>
    <x v="0"/>
    <s v="00. RECURSOS ORDINARIOS"/>
    <s v="5. GASTOS CORRIENTES"/>
    <s v="2. GASTOS PRESUPUESTARIOS"/>
    <x v="2"/>
    <s v=" 1. COMPRA DE BIENES"/>
    <s v=" 2. VESTUARIOS Y TEXTILES"/>
    <s v=" 1. VESTUARIO, ZAPATERIA Y ACCESORIOS, TALABARTERIA Y MATERIALES TEXTILES"/>
    <s v=" 1. VESTUARIO, ACCESORIOS Y PRENDAS DIVERSAS"/>
    <s v="0 . RECURSOS ORDINARIOS"/>
    <n v="0"/>
    <n v="2400"/>
    <n v="2400"/>
    <n v="816"/>
    <n v="816"/>
    <n v="0"/>
    <n v="0"/>
    <n v="0"/>
    <n v="0"/>
    <n v="816"/>
    <n v="0"/>
    <n v="0"/>
    <n v="0"/>
    <n v="0"/>
    <n v="0"/>
    <n v="0"/>
    <n v="0"/>
    <n v="0"/>
    <n v="0"/>
    <n v="0"/>
    <n v="0"/>
    <n v="0"/>
    <n v="816"/>
    <n v="0"/>
    <n v="0"/>
    <n v="0"/>
    <n v="0"/>
    <n v="0"/>
    <n v="0"/>
    <n v="0"/>
    <n v="0"/>
    <n v="0"/>
    <n v="0"/>
    <n v="0"/>
    <n v="816"/>
    <n v="0"/>
    <n v="0"/>
    <n v="0"/>
    <n v="0"/>
    <n v="0"/>
    <n v="0"/>
    <n v="0"/>
    <n v="0"/>
    <n v="0"/>
    <n v="0"/>
    <n v="0"/>
    <n v="816"/>
    <n v="0"/>
    <n v="0"/>
    <n v="0"/>
    <n v="0"/>
    <n v="0"/>
    <n v="0"/>
    <x v="0"/>
    <x v="22"/>
    <x v="22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700."/>
    <s v="5.ACTIVIDAD"/>
    <s v="5005190. TRATAMIENTO AMBULATORIO DE PERSONAS CON TRANSTORNOS AFECTIVOS (DEPRESION Y CONDUCTA SUICIDA) Y DE ANSIEDAD"/>
    <s v="20. SALUD"/>
    <s v="044. SALUD INDIVIDUAL"/>
    <s v="0097. ATENCION MEDICA ESPECIALIZADA"/>
    <s v="00001"/>
    <s v="0136782. TRATAMIENTO AMBULATORIO DEPERSONAS CON TRASTORNOS AFECTIVOS (DEPRESION Y CONDUCTA SUICIDA) Y DE ANSIEDAD"/>
    <s v="00394 - TECNICO"/>
    <n v="80"/>
    <n v="40"/>
    <n v="16"/>
    <n v="16"/>
    <x v="63"/>
    <s v="05. AYACUCHO"/>
    <s v="01. HUAMANGA"/>
    <s v="01. AYACUCHO"/>
    <x v="0"/>
    <s v="00. RECURSOS ORDINARIOS"/>
    <s v="5. GASTOS CORRIENTES"/>
    <s v="2. GASTOS PRESUPUESTARIOS"/>
    <x v="2"/>
    <s v=" 1. COMPRA DE BIENES"/>
    <s v=" 2. VESTUARIOS Y TEXTILES"/>
    <s v=" 1. VESTUARIO, ZAPATERIA Y ACCESORIOS, TALABARTERIA Y MATERIALES TEXTILES"/>
    <s v=" 2. TEXTILES Y ACABADOS TEXTILES"/>
    <s v="0 . RECURSOS ORDINARIOS"/>
    <n v="0"/>
    <n v="2508"/>
    <n v="2508"/>
    <n v="2507.7399999999998"/>
    <n v="2507.7399999999998"/>
    <n v="0"/>
    <n v="0"/>
    <n v="0"/>
    <n v="2507.7399999999998"/>
    <n v="0"/>
    <n v="0"/>
    <n v="0"/>
    <n v="0"/>
    <n v="0"/>
    <n v="0"/>
    <n v="0"/>
    <n v="0"/>
    <n v="0"/>
    <n v="0"/>
    <n v="0"/>
    <n v="0"/>
    <n v="0"/>
    <n v="560.74"/>
    <n v="0"/>
    <n v="0"/>
    <n v="0"/>
    <n v="0"/>
    <n v="0"/>
    <n v="0"/>
    <n v="0"/>
    <n v="0"/>
    <n v="0"/>
    <n v="0"/>
    <n v="0"/>
    <n v="560.74"/>
    <n v="0"/>
    <n v="0"/>
    <n v="0"/>
    <n v="0"/>
    <n v="0"/>
    <n v="0"/>
    <n v="0"/>
    <n v="0"/>
    <n v="0"/>
    <n v="0"/>
    <n v="0"/>
    <n v="560.74"/>
    <n v="0"/>
    <n v="0"/>
    <n v="0"/>
    <n v="0"/>
    <n v="0"/>
    <n v="0"/>
    <x v="0"/>
    <x v="23"/>
    <x v="23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700."/>
    <s v="5.ACTIVIDAD"/>
    <s v="5005191. TRATAMIENTO CON INTERNAMIENTO DE PERSONAS CON TRASTORNOS AFECTIVOS Y DE ANSIEDAD"/>
    <s v="20. SALUD"/>
    <s v="044. SALUD INDIVIDUAL"/>
    <s v="0097. ATENCION MEDICA ESPECIALIZADA"/>
    <s v="00001"/>
    <s v="0136783. TRATAMIENTO CON INTERNAMIENTO DE PERSONAS CON TRASTORNOS AFECTIVOS Y DE ANSIEDAD"/>
    <s v="00394 - TECNICO"/>
    <n v="50"/>
    <n v="25"/>
    <n v="20"/>
    <n v="20"/>
    <x v="64"/>
    <s v="05. AYACUCHO"/>
    <s v="01. HUAMANGA"/>
    <s v="01. AYACUCHO"/>
    <x v="0"/>
    <s v="00. RECURSOS ORDINARIOS"/>
    <s v="5. GASTOS CORRIENTES"/>
    <s v="2. GASTOS PRESUPUESTARIOS"/>
    <x v="2"/>
    <s v=" 1. COMPRA DE BIENES"/>
    <s v=" 2. VESTUARIOS Y TEXTILES"/>
    <s v=" 1. VESTUARIO, ZAPATERIA Y ACCESORIOS, TALABARTERIA Y MATERIALES TEXTILES"/>
    <s v=" 2. TEXTILES Y ACABADOS TEXTILES"/>
    <s v="0 . RECURSOS ORDINARIO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3"/>
    <x v="23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0"/>
    <s v="00. RECURSOS ORDINARIOS"/>
    <s v="5. GASTOS CORRIENTES"/>
    <s v="2. GASTOS PRESUPUESTARIOS"/>
    <x v="2"/>
    <s v=" 1. COMPRA DE BIENES"/>
    <s v=" 2. VESTUARIOS Y TEXTILES"/>
    <s v=" 1. VESTUARIO, ZAPATERIA Y ACCESORIOS, TALABARTERIA Y MATERIALES TEXTILES"/>
    <s v=" 2. TEXTILES Y ACABADOS TEXTILES"/>
    <s v="0 . RECURSOS ORDINARIOS"/>
    <n v="232820"/>
    <n v="0"/>
    <n v="2328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3"/>
    <x v="23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734."/>
    <s v="5.ACTIVIDAD"/>
    <s v="5005561. IMPLEMENTACION DE BRIGADAS PARA LA ATENCION FRENTE A EMERGENCIAS Y DESASTRES"/>
    <s v="20. SALUD"/>
    <s v="016. GESTION DE RIESGOS Y EMERGENCIAS"/>
    <s v="0036. ATENCION INMEDIATA DE DESASTRES"/>
    <s v="00001"/>
    <s v="0160777. IMPLEMENTACION DE BRIGADAS PARA LA ATENCION FRENTE A EMERGENCIAS Y DESASTRES"/>
    <s v="00583 - BRIGADA"/>
    <n v="2"/>
    <n v="1"/>
    <n v="0"/>
    <n v="0"/>
    <x v="57"/>
    <s v="05. AYACUCHO"/>
    <s v="01. HUAMANGA"/>
    <s v="01. AYACUCHO"/>
    <x v="0"/>
    <s v="00. RECURSOS ORDINARIOS"/>
    <s v="5. GASTOS CORRIENTES"/>
    <s v="2. GASTOS PRESUPUESTARIOS"/>
    <x v="2"/>
    <s v=" 1. COMPRA DE BIENES"/>
    <s v=" 2. VESTUARIOS Y TEXTILES"/>
    <s v=" 1. VESTUARIO, ZAPATERIA Y ACCESORIOS, TALABARTERIA Y MATERIALES TEXTILES"/>
    <s v=" 3. CALZADO"/>
    <s v="0 . RECURSOS ORDINARIOS"/>
    <n v="4000"/>
    <n v="0"/>
    <n v="4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4"/>
    <x v="24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801."/>
    <s v="5.ACTIVIDAD"/>
    <s v="5006279. SERVICIO DE TRANSPORTE ASISTIDO DE LA EMERGENCIA Y URGENCIA"/>
    <s v="20. SALUD"/>
    <s v="044. SALUD INDIVIDUAL"/>
    <s v="0096. ATENCION MEDICA BASICA"/>
    <s v="00001"/>
    <s v="0289988. SERVICIO DE TRANSPORTE ASISTIDO DE LA EMERGENCIA Y URGENCIA"/>
    <s v="00006 - ATENCION"/>
    <n v="500"/>
    <n v="250"/>
    <n v="57"/>
    <n v="57"/>
    <x v="65"/>
    <s v="05. AYACUCHO"/>
    <s v="01. HUAMANGA"/>
    <s v="01. AYACUCHO"/>
    <x v="0"/>
    <s v="00. RECURSOS ORDINARIOS"/>
    <s v="5. GASTOS CORRIENTES"/>
    <s v="2. GASTOS PRESUPUESTARIOS"/>
    <x v="2"/>
    <s v=" 1. COMPRA DE BIENES"/>
    <s v=" 3. COMBUSTIBLES, CARBURANTES, LUBRICANTES Y AFINES"/>
    <s v=" 1. COMBUSTIBLES, CARBURANTES, LUBRICANTES Y AFINES"/>
    <s v=" 1. COMBUSTIBLES Y CARBURANTES"/>
    <s v="0 . RECURSOS ORDINARIOS"/>
    <n v="3000"/>
    <n v="-3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5"/>
    <x v="25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0"/>
    <s v="00. RECURSOS ORDINARIOS"/>
    <s v="5. GASTOS CORRIENTES"/>
    <s v="2. GASTOS PRESUPUESTARIOS"/>
    <x v="2"/>
    <s v=" 1. COMPRA DE BIENES"/>
    <s v=" 3. COMBUSTIBLES, CARBURANTES, LUBRICANTES Y AFINES"/>
    <s v=" 1. COMBUSTIBLES, CARBURANTES, LUBRICANTES Y AFINES"/>
    <s v=" 1. COMBUSTIBLES Y CARBURANTES"/>
    <s v="0 . RECURSOS ORDINARIOS"/>
    <n v="93365"/>
    <n v="-8284"/>
    <n v="850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5"/>
    <x v="25"/>
    <x v="1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377. MEJORAMIENTO DE LA OFERTA DE LOS SERVICIOS DE SALUD"/>
    <s v="20. SALUD"/>
    <s v="044. SALUD INDIVIDUAL"/>
    <s v="0097. ATENCION MEDICA ESPECIALIZADA"/>
    <s v="00001"/>
    <s v="0006831. MEJORAR LA ATENCION A LA POBLACION"/>
    <s v="00006 - ATENCION"/>
    <n v="2400"/>
    <n v="1200"/>
    <n v="940"/>
    <n v="940"/>
    <x v="32"/>
    <s v="05. AYACUCHO"/>
    <s v="01. HUAMANGA"/>
    <s v="01. AYACUCHO"/>
    <x v="0"/>
    <s v="00. RECURSOS ORDINARIOS"/>
    <s v="5. GASTOS CORRIENTES"/>
    <s v="2. GASTOS PRESUPUESTARIOS"/>
    <x v="2"/>
    <s v=" 1. COMPRA DE BIENES"/>
    <s v=" 3. COMBUSTIBLES, CARBURANTES, LUBRICANTES Y AFINES"/>
    <s v=" 1. COMBUSTIBLES, CARBURANTES, LUBRICANTES Y AFINES"/>
    <s v=" 1. COMBUSTIBLES Y CARBURANTES"/>
    <s v="0 . RECURSOS ORDINARIOS"/>
    <n v="100000"/>
    <n v="-81178"/>
    <n v="188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5"/>
    <x v="25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0"/>
    <s v="00. RECURSOS ORDINARIOS"/>
    <s v="5. GASTOS CORRIENTES"/>
    <s v="2. GASTOS PRESUPUESTARIOS"/>
    <x v="2"/>
    <s v=" 1. COMPRA DE BIENES"/>
    <s v=" 3. COMBUSTIBLES, CARBURANTES, LUBRICANTES Y AFINES"/>
    <s v=" 1. COMBUSTIBLES, CARBURANTES, LUBRICANTES Y AFINES"/>
    <s v=" 1. COMBUSTIBLES Y CARBURANTES"/>
    <s v="0 . RECURSOS ORDINARIOS"/>
    <n v="5350"/>
    <n v="0"/>
    <n v="53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5"/>
    <x v="25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0"/>
    <s v="00. RECURSOS ORDINARIOS"/>
    <s v="5. GASTOS CORRIENTES"/>
    <s v="2. GASTOS PRESUPUESTARIOS"/>
    <x v="2"/>
    <s v=" 1. COMPRA DE BIENES"/>
    <s v=" 3. COMBUSTIBLES, CARBURANTES, LUBRICANTES Y AFINES"/>
    <s v=" 1. COMBUSTIBLES, CARBURANTES, LUBRICANTES Y AFINES"/>
    <s v=" 1. COMBUSTIBLES Y CARBURANTES"/>
    <s v="0 . RECURSOS ORDINARIOS"/>
    <n v="685348"/>
    <n v="0"/>
    <n v="685348"/>
    <n v="567720.98"/>
    <n v="567720.98"/>
    <n v="0"/>
    <n v="19975.2"/>
    <n v="41965"/>
    <n v="44132"/>
    <n v="41965"/>
    <n v="49338.85"/>
    <n v="45861.75"/>
    <n v="0"/>
    <n v="0"/>
    <n v="0"/>
    <n v="0"/>
    <n v="0"/>
    <n v="0"/>
    <n v="0"/>
    <n v="0"/>
    <n v="64107.199999999997"/>
    <n v="83930"/>
    <n v="49338.85"/>
    <n v="3896.75"/>
    <n v="0"/>
    <n v="0"/>
    <n v="0"/>
    <n v="0"/>
    <n v="0"/>
    <n v="0"/>
    <n v="0"/>
    <n v="0"/>
    <n v="19975.2"/>
    <n v="86097"/>
    <n v="49338.85"/>
    <n v="41965"/>
    <n v="0"/>
    <n v="0"/>
    <n v="0"/>
    <n v="0"/>
    <n v="0"/>
    <n v="0"/>
    <n v="0"/>
    <n v="0"/>
    <n v="19975.2"/>
    <n v="86097"/>
    <n v="49338.85"/>
    <n v="41965"/>
    <n v="0"/>
    <n v="0"/>
    <n v="0"/>
    <n v="0"/>
    <n v="0"/>
    <x v="0"/>
    <x v="25"/>
    <x v="25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0"/>
    <s v="00. RECURSOS ORDINARIOS"/>
    <s v="5. GASTOS CORRIENTES"/>
    <s v="2. GASTOS PRESUPUESTARIOS"/>
    <x v="2"/>
    <s v=" 1. COMPRA DE BIENES"/>
    <s v=" 3. COMBUSTIBLES, CARBURANTES, LUBRICANTES Y AFINES"/>
    <s v=" 1. COMBUSTIBLES, CARBURANTES, LUBRICANTES Y AFINES"/>
    <s v=" 2. GASES"/>
    <s v="0 . RECURSOS ORDINARIOS"/>
    <n v="455700"/>
    <n v="0"/>
    <n v="455700"/>
    <n v="395000"/>
    <n v="395000"/>
    <n v="0"/>
    <n v="0"/>
    <n v="36405.53"/>
    <n v="36405.53"/>
    <n v="36405.53"/>
    <n v="36405.53"/>
    <n v="36405.53"/>
    <n v="0"/>
    <n v="0"/>
    <n v="0"/>
    <n v="0"/>
    <n v="0"/>
    <n v="0"/>
    <n v="0"/>
    <n v="0"/>
    <n v="72811.06"/>
    <n v="0"/>
    <n v="72811.06"/>
    <n v="0"/>
    <n v="0"/>
    <n v="0"/>
    <n v="0"/>
    <n v="0"/>
    <n v="0"/>
    <n v="0"/>
    <n v="0"/>
    <n v="0"/>
    <n v="0"/>
    <n v="72811.06"/>
    <n v="72811.06"/>
    <n v="0"/>
    <n v="0"/>
    <n v="0"/>
    <n v="0"/>
    <n v="0"/>
    <n v="0"/>
    <n v="0"/>
    <n v="0"/>
    <n v="0"/>
    <n v="0"/>
    <n v="72811.06"/>
    <n v="72811.06"/>
    <n v="0"/>
    <n v="0"/>
    <n v="0"/>
    <n v="0"/>
    <n v="0"/>
    <n v="0"/>
    <x v="0"/>
    <x v="26"/>
    <x v="26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001."/>
    <s v="5.ACTIVIDAD"/>
    <s v="5004426. MONITOREO, SUPERVISION, EVALUACION Y CONTROL DEL PROGRAMA ARTICULADO NUTRICIONAL"/>
    <s v="20. SALUD"/>
    <s v="004. PLANEAMIENTO GUBERNAMENTAL"/>
    <s v="0005. PLANEAMIENTO INSTITUCIONAL"/>
    <s v="00001"/>
    <s v="0044276. MONITOREO, SUPERVISION, EVALUACION Y CONTROL DEL PROGRAMA ARTICULADO NUTRICIONAL"/>
    <s v="00060 - INFORME"/>
    <n v="4"/>
    <n v="2"/>
    <n v="2"/>
    <n v="2"/>
    <x v="51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1. DE OFICINA"/>
    <s v=" 2. PAPELERIA EN GENERAL, UTILES Y MATERIALES DE OFICINA"/>
    <s v="0 . RECURSOS ORDINARIOS"/>
    <n v="3100"/>
    <n v="0"/>
    <n v="3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7"/>
    <x v="27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876."/>
    <s v="5.ACTIVIDAD"/>
    <s v="5000027. ATENDER A NIÑOS CON INFECCIONES RESPIRATORIAS AGUDAS"/>
    <s v="20. SALUD"/>
    <s v="044. SALUD INDIVIDUAL"/>
    <s v="0096. ATENCION MEDICA BASICA"/>
    <s v="00001"/>
    <s v="0033311. ATENCION IRA"/>
    <s v="00016 - CASO TRATADO"/>
    <n v="3327"/>
    <n v="1663"/>
    <n v="751"/>
    <n v="751"/>
    <x v="66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1. DE OFICINA"/>
    <s v=" 2. PAPELERIA EN GENERAL, UTILES Y MATERIALES DE OFICINA"/>
    <s v="0 . RECURSOS ORDINARIOS"/>
    <n v="1000"/>
    <n v="-1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7"/>
    <x v="27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876."/>
    <s v="5.ACTIVIDAD"/>
    <s v="5000028. ATENDER A NIÑOS CON ENFERMEDADES DIARREICAS AGUDAS"/>
    <s v="20. SALUD"/>
    <s v="044. SALUD INDIVIDUAL"/>
    <s v="0096. ATENCION MEDICA BASICA"/>
    <s v="00001"/>
    <s v="0033312. ATENCION EDA"/>
    <s v="00016 - CASO TRATADO"/>
    <n v="1504"/>
    <n v="752"/>
    <n v="552"/>
    <n v="552"/>
    <x v="67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1. DE OFICINA"/>
    <s v=" 2. PAPELERIA EN GENERAL, UTILES Y MATERIALES DE OFICINA"/>
    <s v="0 . RECURSOS ORDINARIOS"/>
    <n v="500"/>
    <n v="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7"/>
    <x v="27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877."/>
    <s v="5.ACTIVIDAD"/>
    <s v="5000029. ATENDER A NIÑOS CON DIAGNOSTICO DE INFECCIONES RESPIRATORIAS AGUDAS CON COMPLICACIONES"/>
    <s v="20. SALUD"/>
    <s v="044. SALUD INDIVIDUAL"/>
    <s v="0097. ATENCION MEDICA ESPECIALIZADA"/>
    <s v="00001"/>
    <s v="0033313. ATENCION IRA CON COMPLICACIONES"/>
    <s v="00016 - CASO TRATADO"/>
    <n v="221"/>
    <n v="110"/>
    <n v="108"/>
    <n v="108"/>
    <x v="43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1. DE OFICINA"/>
    <s v=" 2. PAPELERIA EN GENERAL, UTILES Y MATERIALES DE OFICINA"/>
    <s v="0 . RECURSOS ORDINARIOS"/>
    <n v="2000"/>
    <n v="0"/>
    <n v="2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7"/>
    <x v="27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877."/>
    <s v="5.ACTIVIDAD"/>
    <s v="5000030. ATENDER A NIÑOS CON DIAGNOSTICO DE ENFERMEDAD DIARREICA AGUDA COMPLICADA"/>
    <s v="20. SALUD"/>
    <s v="044. SALUD INDIVIDUAL"/>
    <s v="0097. ATENCION MEDICA ESPECIALIZADA"/>
    <s v="00001"/>
    <s v="0033314. ATENCION EDA CON COMPLICACIONES"/>
    <s v="00016 - CASO TRATADO"/>
    <n v="48"/>
    <n v="24"/>
    <n v="20"/>
    <n v="20"/>
    <x v="68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1. DE OFICINA"/>
    <s v=" 2. PAPELERIA EN GENERAL, UTILES Y MATERIALES DE OFICINA"/>
    <s v="0 . RECURSOS ORDINARIOS"/>
    <n v="800"/>
    <n v="0"/>
    <n v="8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7"/>
    <x v="27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878."/>
    <s v="5.ACTIVIDAD"/>
    <s v="5006270. BRINDAR ATENCION  A NIÑOS CON DIAGNOSTICO DE ANEMIA POR DEFICIENCIA DE  HIERRO"/>
    <s v="20. SALUD"/>
    <s v="044. SALUD INDIVIDUAL"/>
    <s v="0096. ATENCION MEDICA BASICA"/>
    <s v="00001"/>
    <s v="0289981. BRINDAR ATENCION A NIÑOS CON DIAGNOSTICO DE ANEMIA POR DEFICIENCIA DE HIERRO"/>
    <s v="00086 - PERSONA"/>
    <n v="242"/>
    <n v="121"/>
    <n v="83"/>
    <n v="83"/>
    <x v="69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1. DE OFICINA"/>
    <s v=" 2. PAPELERIA EN GENERAL, UTILES Y MATERIALES DE OFICINA"/>
    <s v="0 . RECURSOS ORDINARIOS"/>
    <n v="500"/>
    <n v="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7"/>
    <x v="27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254."/>
    <s v="5.ACTIVIDAD"/>
    <s v="5000017. APLICACION DE VACUNAS COMPLETAS"/>
    <s v="20. SALUD"/>
    <s v="044. SALUD INDIVIDUAL"/>
    <s v="0096. ATENCION MEDICA BASICA"/>
    <s v="00001"/>
    <s v="0033254. NIÑOS CON VACUNA COMPLETA"/>
    <s v="00218 - NIÑO PROTEGIDO"/>
    <n v="3576"/>
    <n v="1788"/>
    <n v="1160"/>
    <n v="1160"/>
    <x v="59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1. DE OFICINA"/>
    <s v=" 2. PAPELERIA EN GENERAL, UTILES Y MATERIALES DE OFICINA"/>
    <s v="0 . RECURSOS ORDINARIOS"/>
    <n v="1200"/>
    <n v="0"/>
    <n v="1200"/>
    <n v="930.3"/>
    <n v="756.36"/>
    <n v="0"/>
    <n v="0"/>
    <n v="0"/>
    <n v="0"/>
    <n v="0"/>
    <n v="0"/>
    <n v="756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7"/>
    <x v="27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255."/>
    <s v="5.ACTIVIDAD"/>
    <s v="5000018. ATENCION A NIÑOS CON CRECIMIENTO Y DESARROLLO - CRED COMPLETO PARA SU EDAD"/>
    <s v="20. SALUD"/>
    <s v="044. SALUD INDIVIDUAL"/>
    <s v="0096. ATENCION MEDICA BASICA"/>
    <s v="00001"/>
    <s v="0033255. NIÑOS CON CRED COMPLETO SEGUN EDAD"/>
    <s v="00219 - NIÑO CONTROLADO"/>
    <n v="1501"/>
    <n v="750"/>
    <n v="0"/>
    <n v="0"/>
    <x v="53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1. DE OFICINA"/>
    <s v=" 2. PAPELERIA EN GENERAL, UTILES Y MATERIALES DE OFICINA"/>
    <s v="0 . RECURSOS ORDINARIOS"/>
    <n v="1000"/>
    <n v="-1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7"/>
    <x v="27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255."/>
    <s v="5.ACTIVIDAD"/>
    <s v="5000019. ADMINISTRAR SUPLEMENTO DE HIERRO Y VITAMINA A"/>
    <s v="20. SALUD"/>
    <s v="044. SALUD INDIVIDUAL"/>
    <s v="0096. ATENCION MEDICA BASICA"/>
    <s v="00001"/>
    <s v="0033256. NIÑOS CON SUPLEMENTO DE HIERRO Y VITAMINA A"/>
    <s v="00220 - NIÑO SUPLEMENTADO"/>
    <n v="1238"/>
    <n v="619"/>
    <n v="42"/>
    <n v="42"/>
    <x v="70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1. DE OFICINA"/>
    <s v=" 2. PAPELERIA EN GENERAL, UTILES Y MATERIALES DE OFICINA"/>
    <s v="0 . RECURSOS ORDINARIOS"/>
    <n v="1090"/>
    <n v="0"/>
    <n v="1090"/>
    <n v="710.47"/>
    <n v="708.96"/>
    <n v="0"/>
    <n v="0"/>
    <n v="0"/>
    <n v="0"/>
    <n v="0"/>
    <n v="0"/>
    <n v="708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7"/>
    <x v="27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001."/>
    <s v="5.ACTIVIDAD"/>
    <s v="5004433. MONITOREO, SUPERVISION, EVALUACION Y CONTROL DE VIH/SIDA - TUBERCULOSIS"/>
    <s v="20. SALUD"/>
    <s v="004. PLANEAMIENTO GUBERNAMENTAL"/>
    <s v="0005. PLANEAMIENTO INSTITUCIONAL"/>
    <s v="00001"/>
    <s v="0043950. MONITOREO, SUPERVISION, EVALUACION Y CONTROL DE VIH SIDA - TUBERCULOSIS"/>
    <s v="00060 - INFORME"/>
    <n v="4"/>
    <n v="2"/>
    <n v="2"/>
    <n v="2"/>
    <x v="71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1. DE OFICINA"/>
    <s v=" 2. PAPELERIA EN GENERAL, UTILES Y MATERIALES DE OFICINA"/>
    <s v="0 . RECURSOS ORDINARIOS"/>
    <n v="2500"/>
    <n v="0"/>
    <n v="2500"/>
    <n v="2499.59"/>
    <n v="1958.28"/>
    <n v="0"/>
    <n v="0"/>
    <n v="0"/>
    <n v="0"/>
    <n v="0"/>
    <n v="0"/>
    <n v="1958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7"/>
    <x v="27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12."/>
    <s v="5.ACTIVIDAD"/>
    <s v="5004436. DESPISTAJE DE TUBERCULOSIS EN SINTOMATICOS RESPIRATORIOS"/>
    <s v="20. SALUD"/>
    <s v="044. SALUD INDIVIDUAL"/>
    <s v="0096. ATENCION MEDICA BASICA"/>
    <s v="00001"/>
    <s v="0043962. DESPISTAJE DE TUBERCULOSIS EN SINTOMATICOS RESPIRATORIOS"/>
    <s v="00087 - PERSONA ATENDIDA"/>
    <n v="3212"/>
    <n v="1606"/>
    <n v="647.70000000000005"/>
    <n v="647.70000000000005"/>
    <x v="47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1. DE OFICINA"/>
    <s v=" 2. PAPELERIA EN GENERAL, UTILES Y MATERIALES DE OFICINA"/>
    <s v="0 . RECURSOS ORDINARIOS"/>
    <n v="1500"/>
    <n v="-1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7"/>
    <x v="27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15."/>
    <s v="5.ACTIVIDAD"/>
    <s v="5004439. TRATAMIENTO DE CASOS DE PERSONAS PRIVADAS DE SU LIBERTAD"/>
    <s v="20. SALUD"/>
    <s v="044. SALUD INDIVIDUAL"/>
    <s v="0096. ATENCION MEDICA BASICA"/>
    <s v="00001"/>
    <s v="0043966. TRATAMIENTO DE CASOS DE PERSONAS PRIVADAS DE SU LIBERTAD"/>
    <s v="00394 - TECNICO"/>
    <n v="12"/>
    <n v="6"/>
    <n v="4"/>
    <n v="4"/>
    <x v="72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1. DE OFICINA"/>
    <s v=" 2. PAPELERIA EN GENERAL, UTILES Y MATERIALES DE OFICINA"/>
    <s v="0 . RECURSOS ORDINARIOS"/>
    <n v="500"/>
    <n v="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7"/>
    <x v="27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16."/>
    <s v="5.ACTIVIDAD"/>
    <s v="5004440. DESPISTAJE Y DIAGNOSTICO DE TUBERCULOSIS PARA PACIENTES CON COMORBILIDAD"/>
    <s v="20. SALUD"/>
    <s v="044. SALUD INDIVIDUAL"/>
    <s v="0097. ATENCION MEDICA ESPECIALIZADA"/>
    <s v="00001"/>
    <s v="0043973. DESPISTAJE Y DIAGNOSTICO DE TUBERCULOSIS PARA PACIENTES CON COMORBILIDAD"/>
    <s v="00087 - PERSONA ATENDIDA"/>
    <n v="559"/>
    <n v="279"/>
    <n v="103"/>
    <n v="103"/>
    <x v="73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1. DE OFICINA"/>
    <s v=" 2. PAPELERIA EN GENERAL, UTILES Y MATERIALES DE OFICINA"/>
    <s v="0 . RECURSOS ORDINARIOS"/>
    <n v="1000"/>
    <n v="0"/>
    <n v="1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7"/>
    <x v="27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58."/>
    <s v="5.ACTIVIDAD"/>
    <s v="5000068. MEJORAR EN POBLACION INFORMADA EL USO CORRECTO DE CONDON PARA PREVENCION DE INFECCIONES DE TRANSMISION SEXUAL Y VIH/SIDA"/>
    <s v="20. SALUD"/>
    <s v="043. SALUD COLECTIVA"/>
    <s v="0095. CONTROL DE RIESGOS Y DAÑOS PARA LA SALUD"/>
    <s v="00001"/>
    <s v="0136032. MEJORAR EN POBLACION INFORMADA EL USO CORRECTO DE CONDON PARA PREVENCION DE INFECCIONES DE TRANSMISION SEXUAL Y VIH/SIDA"/>
    <s v="00259 - PERSONA INFORMADA"/>
    <n v="5000"/>
    <n v="2500"/>
    <n v="1500"/>
    <n v="1500"/>
    <x v="74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1. DE OFICINA"/>
    <s v=" 2. PAPELERIA EN GENERAL, UTILES Y MATERIALES DE OFICINA"/>
    <s v="0 . RECURSOS ORDINARIOS"/>
    <n v="2500"/>
    <n v="0"/>
    <n v="2500"/>
    <n v="2428.56"/>
    <n v="2303.6999999999998"/>
    <n v="0"/>
    <n v="0"/>
    <n v="0"/>
    <n v="0"/>
    <n v="0"/>
    <n v="0"/>
    <n v="2303.6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7"/>
    <x v="27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69."/>
    <s v="5.ACTIVIDAD"/>
    <s v="5000079. BRINDAR ATENCION INTEGRAL A PERSONAS CON DIAGNOSTICO DE VIH QUE ACUDEN A LOS SERVICIOS"/>
    <s v="20. SALUD"/>
    <s v="044. SALUD INDIVIDUAL"/>
    <s v="0096. ATENCION MEDICA BASICA"/>
    <s v="00001"/>
    <s v="0136038. BRINDAR ATENCION INTEGRAL A PERSONAS CON DIAGNOSTICO DE VIH QUE ACUDEN A LOS SERVICIOS"/>
    <s v="00087 - PERSONA ATENDIDA"/>
    <n v="34"/>
    <n v="17"/>
    <n v="30"/>
    <n v="30"/>
    <x v="75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1. DE OFICINA"/>
    <s v=" 2. PAPELERIA EN GENERAL, UTILES Y MATERIALES DE OFICINA"/>
    <s v="0 . RECURSOS ORDINARIOS"/>
    <n v="1500"/>
    <n v="0"/>
    <n v="1500"/>
    <n v="266.20999999999998"/>
    <n v="232.7"/>
    <n v="0"/>
    <n v="0"/>
    <n v="0"/>
    <n v="0"/>
    <n v="0"/>
    <n v="0"/>
    <n v="23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7"/>
    <x v="27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1"/>
    <s v=" ."/>
    <s v="3000001."/>
    <s v="5.ACTIVIDAD"/>
    <s v="5000085. MONITOREO, SUPERVISION, EVALUACION Y CONTROL METAXENICAS Y ZOONOSIS"/>
    <s v="20. SALUD"/>
    <s v="004. PLANEAMIENTO GUBERNAMENTAL"/>
    <s v="0005. PLANEAMIENTO INSTITUCIONAL"/>
    <s v="00001"/>
    <s v="0043975. MONITOREO, SUPERVISION, EVALUACION Y CONTROL METAXENICAS Y ZOONOSIS"/>
    <s v="00060 - INFORME"/>
    <n v="1"/>
    <n v="1"/>
    <n v="1"/>
    <n v="1"/>
    <x v="76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1. DE OFICINA"/>
    <s v=" 2. PAPELERIA EN GENERAL, UTILES Y MATERIALES DE OFICINA"/>
    <s v="0 . RECURSOS ORDINARIOS"/>
    <n v="2000"/>
    <n v="0"/>
    <n v="2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7"/>
    <x v="27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01."/>
    <s v="5.ACTIVIDAD"/>
    <s v="5004452. MONITOREO, SUPERVISION, EVALUACION Y CONTROL DE ENFERMEDADES NO TRANSMISIBLES"/>
    <s v="20. SALUD"/>
    <s v="004. PLANEAMIENTO GUBERNAMENTAL"/>
    <s v="0005. PLANEAMIENTO INSTITUCIONAL"/>
    <s v="00001"/>
    <s v="0043985. MONITOREO, SUPERVISION, EVALUACION Y CONTROL DE ENFERMEDADES NO TRASMISIBLES"/>
    <s v="00060 - INFORME"/>
    <n v="6"/>
    <n v="3"/>
    <n v="3"/>
    <n v="3"/>
    <x v="55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1. DE OFICINA"/>
    <s v=" 2. PAPELERIA EN GENERAL, UTILES Y MATERIALES DE OFICINA"/>
    <s v="0 . RECURSOS ORDINARIOS"/>
    <n v="2500"/>
    <n v="0"/>
    <n v="2500"/>
    <n v="1869.72"/>
    <n v="1817.6"/>
    <n v="0"/>
    <n v="0"/>
    <n v="0"/>
    <n v="0"/>
    <n v="0"/>
    <n v="0"/>
    <n v="181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7"/>
    <x v="27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812."/>
    <s v="5.ACTIVIDAD"/>
    <s v="5005992. BRINDAR TRATAMIENTO A NIÑOS PREMATUROS CON DIAGNOSTICO DE RETINOPATIA DE LA PREMATURIDAD (ROP)"/>
    <s v="20. SALUD"/>
    <s v="044. SALUD INDIVIDUAL"/>
    <s v="0097. ATENCION MEDICA ESPECIALIZADA"/>
    <s v="00001"/>
    <s v="0215302. BRINDAR TRATAMIENTO A NIÑOS PREMATUROS CON DIAGNOSTICO DE RETINOPATIA DE LA PREMATURIDAD (ROP)"/>
    <s v="00394 - TECNICO"/>
    <n v="24"/>
    <n v="12"/>
    <n v="12"/>
    <n v="12"/>
    <x v="77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1. DE OFICINA"/>
    <s v=" 2. PAPELERIA EN GENERAL, UTILES Y MATERIALES DE OFICINA"/>
    <s v="0 . RECURSOS ORDINARIOS"/>
    <n v="800"/>
    <n v="0"/>
    <n v="800"/>
    <n v="567.15"/>
    <n v="497.82"/>
    <n v="0"/>
    <n v="0"/>
    <n v="0"/>
    <n v="0"/>
    <n v="0"/>
    <n v="0"/>
    <n v="497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7"/>
    <x v="27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001."/>
    <s v="5.ACTIVIDAD"/>
    <s v="5004280. DESARROLLO DE INSTRUMENTOS ESTRATEGICOS PARA LA GESTION DEL RIESGO DE DESASTRES"/>
    <s v="20. SALUD"/>
    <s v="016. GESTION DE RIESGOS Y EMERGENCIAS"/>
    <s v="0035. PREVENCION DE DESASTRES"/>
    <s v="00001"/>
    <s v="0106777. DESARROLLO DE INSTRUMENTOS ESTRATEGICOS PARA LA GESTION DEL RIESGO DE DESASTRES"/>
    <s v="00201 - INFORME TECNICO"/>
    <n v="7"/>
    <n v="4"/>
    <n v="4"/>
    <n v="4"/>
    <x v="78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1. DE OFICINA"/>
    <s v=" 2. PAPELERIA EN GENERAL, UTILES Y MATERIALES DE OFICINA"/>
    <s v="0 . RECURSOS ORDINARIOS"/>
    <n v="5000"/>
    <n v="0"/>
    <n v="5000"/>
    <n v="4967.58"/>
    <n v="4109.2700000000004"/>
    <n v="0"/>
    <n v="0"/>
    <n v="0"/>
    <n v="0"/>
    <n v="1553.24"/>
    <n v="0"/>
    <n v="2556.0300000000002"/>
    <n v="0"/>
    <n v="0"/>
    <n v="0"/>
    <n v="0"/>
    <n v="0"/>
    <n v="0"/>
    <n v="0"/>
    <n v="0"/>
    <n v="0"/>
    <n v="0"/>
    <n v="1553.24"/>
    <n v="0"/>
    <n v="0"/>
    <n v="0"/>
    <n v="0"/>
    <n v="0"/>
    <n v="0"/>
    <n v="0"/>
    <n v="0"/>
    <n v="0"/>
    <n v="0"/>
    <n v="0"/>
    <n v="1553.24"/>
    <n v="0"/>
    <n v="0"/>
    <n v="0"/>
    <n v="0"/>
    <n v="0"/>
    <n v="0"/>
    <n v="0"/>
    <n v="0"/>
    <n v="0"/>
    <n v="0"/>
    <n v="0"/>
    <n v="1553.24"/>
    <n v="0"/>
    <n v="0"/>
    <n v="0"/>
    <n v="0"/>
    <n v="0"/>
    <n v="0"/>
    <x v="0"/>
    <x v="27"/>
    <x v="27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734."/>
    <s v="5.ACTIVIDAD"/>
    <s v="5005612. DESARROLLO DE LOS CENTROS Y ESPACIOS DE MONITOREO DE EMERGENCIAS Y DESASTRES"/>
    <s v="20. SALUD"/>
    <s v="016. GESTION DE RIESGOS Y EMERGENCIAS"/>
    <s v="0036. ATENCION INMEDIATA DE DESASTRES"/>
    <s v="00001"/>
    <s v="0160879. DESARROLLO DE LOS CENTROS Y ESPACIOS DE MONITOREO DE EMERGENCIAS Y DESASTRES"/>
    <s v="00248 - REPORTE"/>
    <n v="12"/>
    <n v="6"/>
    <n v="6"/>
    <n v="6"/>
    <x v="26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1. DE OFICINA"/>
    <s v=" 2. PAPELERIA EN GENERAL, UTILES Y MATERIALES DE OFICINA"/>
    <s v="0 . RECURSOS ORDINARIOS"/>
    <n v="10000"/>
    <n v="0"/>
    <n v="10000"/>
    <n v="66.67"/>
    <n v="61.95"/>
    <n v="0"/>
    <n v="0"/>
    <n v="0"/>
    <n v="0"/>
    <n v="0"/>
    <n v="0"/>
    <n v="6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7"/>
    <x v="27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738."/>
    <s v="5.ACTIVIDAD"/>
    <s v="5005580. FORMACION Y CAPACITACION EN MATERIA DE GESTION DE RIESGO DE DESASTRES Y ADAPTACION AL CAMBIO CLIMATICO"/>
    <s v="20. SALUD"/>
    <s v="016. GESTION DE RIESGOS Y EMERGENCIAS"/>
    <s v="0035. PREVENCION DE DESASTRES"/>
    <s v="00001"/>
    <s v="0160796. FORMACION Y CAPACITACION EN MATERIA DE GESTION DE RIESGO DE DESASTRES"/>
    <s v="00086 - PERSONA"/>
    <n v="150"/>
    <n v="75"/>
    <n v="109"/>
    <n v="109"/>
    <x v="58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1. DE OFICINA"/>
    <s v=" 2. PAPELERIA EN GENERAL, UTILES Y MATERIALES DE OFICINA"/>
    <s v="0 . RECURSOS ORDINARIOS"/>
    <n v="6000"/>
    <n v="0"/>
    <n v="6000"/>
    <n v="48.36"/>
    <n v="46.3"/>
    <n v="0"/>
    <n v="0"/>
    <n v="0"/>
    <n v="0"/>
    <n v="0"/>
    <n v="0"/>
    <n v="4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7"/>
    <x v="27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001."/>
    <s v="5.ACTIVIDAD"/>
    <s v="5005139. ASISTENCIA TECNICA Y CAPACITACION"/>
    <s v="20. SALUD"/>
    <s v="004. PLANEAMIENTO GUBERNAMENTAL"/>
    <s v="0005. PLANEAMIENTO INSTITUCIONAL"/>
    <s v="00001"/>
    <s v="0136008. ASISTENCIA TECNICA Y CAPACITACION"/>
    <s v="00086 - PERSONA"/>
    <n v="100"/>
    <n v="50"/>
    <n v="48"/>
    <n v="48"/>
    <x v="79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1. DE OFICINA"/>
    <s v=" 2. PAPELERIA EN GENERAL, UTILES Y MATERIALES DE OFICINA"/>
    <s v="0 . RECURSOS ORDINARIOS"/>
    <n v="3000"/>
    <n v="0"/>
    <n v="3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7"/>
    <x v="27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0"/>
    <s v=" ."/>
    <s v="3000688."/>
    <s v="5.ACTIVIDAD"/>
    <s v="5004449. CAPACITACION EN MEDICINA DE REHABILITACION"/>
    <s v="20. SALUD"/>
    <s v="044. SALUD INDIVIDUAL"/>
    <s v="0097. ATENCION MEDICA ESPECIALIZADA"/>
    <s v="00001"/>
    <s v="0136018. CAPACITACION EN MEDICINA DE REHABILITACION"/>
    <s v="00088 - PERSONA CAPACITADA"/>
    <n v="60"/>
    <n v="30"/>
    <n v="0"/>
    <n v="0"/>
    <x v="0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1. DE OFICINA"/>
    <s v=" 2. PAPELERIA EN GENERAL, UTILES Y MATERIALES DE OFICINA"/>
    <s v="0 . RECURSOS ORDINARIOS"/>
    <n v="500"/>
    <n v="0"/>
    <n v="500"/>
    <n v="457.22"/>
    <n v="446.58"/>
    <n v="0"/>
    <n v="0"/>
    <n v="0"/>
    <n v="0"/>
    <n v="0"/>
    <n v="0"/>
    <n v="446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7"/>
    <x v="27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001."/>
    <s v="5.ACTIVIDAD"/>
    <s v="5005183. MONITOREO, SUPERVISION, EVALUACION Y CONTROL DEL PROGRAMA EN SALUD MENTAL"/>
    <s v="20. SALUD"/>
    <s v="004. PLANEAMIENTO GUBERNAMENTAL"/>
    <s v="0005. PLANEAMIENTO INSTITUCIONAL"/>
    <s v="00001"/>
    <s v="0136775. MONITOREO, SUPERVISION, EVALUACION Y CONTROL DEL PROGRAMA EN SALUD MENTAL"/>
    <s v="00060 - INFORME"/>
    <n v="6"/>
    <n v="3"/>
    <n v="3"/>
    <n v="3"/>
    <x v="80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1. DE OFICINA"/>
    <s v=" 2. PAPELERIA EN GENERAL, UTILES Y MATERIALES DE OFICINA"/>
    <s v="0 . RECURSOS ORDINARIOS"/>
    <n v="2000"/>
    <n v="0"/>
    <n v="2000"/>
    <n v="1999.32"/>
    <n v="1959.19"/>
    <n v="0"/>
    <n v="0"/>
    <n v="0"/>
    <n v="0"/>
    <n v="0"/>
    <n v="0"/>
    <n v="1959.19"/>
    <n v="0"/>
    <n v="0"/>
    <n v="0"/>
    <n v="0"/>
    <n v="0"/>
    <n v="0"/>
    <n v="0"/>
    <n v="0"/>
    <n v="0"/>
    <n v="0"/>
    <n v="0"/>
    <n v="494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7"/>
    <x v="27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700."/>
    <s v="5.ACTIVIDAD"/>
    <s v="5005191. TRATAMIENTO CON INTERNAMIENTO DE PERSONAS CON TRASTORNOS AFECTIVOS Y DE ANSIEDAD"/>
    <s v="20. SALUD"/>
    <s v="044. SALUD INDIVIDUAL"/>
    <s v="0097. ATENCION MEDICA ESPECIALIZADA"/>
    <s v="00001"/>
    <s v="0136783. TRATAMIENTO CON INTERNAMIENTO DE PERSONAS CON TRASTORNOS AFECTIVOS Y DE ANSIEDAD"/>
    <s v="00394 - TECNICO"/>
    <n v="50"/>
    <n v="25"/>
    <n v="20"/>
    <n v="20"/>
    <x v="64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1. DE OFICINA"/>
    <s v=" 2. PAPELERIA EN GENERAL, UTILES Y MATERIALES DE OFICINA"/>
    <s v="0 . RECURSOS ORDINARIOS"/>
    <n v="0"/>
    <n v="800"/>
    <n v="800"/>
    <n v="462.59"/>
    <n v="280.88"/>
    <n v="0"/>
    <n v="0"/>
    <n v="0"/>
    <n v="0"/>
    <n v="0"/>
    <n v="0"/>
    <n v="280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7"/>
    <x v="27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1. PLANEAMIENTO Y PRESUPUESTO"/>
    <s v="20. SALUD"/>
    <s v="004. PLANEAMIENTO GUBERNAMENTAL"/>
    <s v="0005. PLANEAMIENTO INSTITUCIONAL"/>
    <s v="00001"/>
    <s v="0001179. PLANEAMIENTO Y PRESUPUESTO"/>
    <s v="00001 - ACCION"/>
    <n v="12"/>
    <n v="6"/>
    <n v="5"/>
    <n v="5"/>
    <x v="1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1. DE OFICINA"/>
    <s v=" 2. PAPELERIA EN GENERAL, UTILES Y MATERIALES DE OFICINA"/>
    <s v="0 . RECURSOS ORDINARIOS"/>
    <n v="5000"/>
    <n v="0"/>
    <n v="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7"/>
    <x v="27"/>
    <x v="1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1. DE OFICINA"/>
    <s v=" 2. PAPELERIA EN GENERAL, UTILES Y MATERIALES DE OFICINA"/>
    <s v="0 . RECURSOS ORDINARIOS"/>
    <n v="885242"/>
    <n v="0"/>
    <n v="885242"/>
    <n v="644594.5"/>
    <n v="593458.49"/>
    <n v="0"/>
    <n v="0"/>
    <n v="0"/>
    <n v="615"/>
    <n v="195634.53"/>
    <n v="0"/>
    <n v="397208.96"/>
    <n v="0"/>
    <n v="0"/>
    <n v="0"/>
    <n v="0"/>
    <n v="0"/>
    <n v="0"/>
    <n v="0"/>
    <n v="0"/>
    <n v="0"/>
    <n v="0"/>
    <n v="196249.53"/>
    <n v="0"/>
    <n v="0"/>
    <n v="0"/>
    <n v="0"/>
    <n v="0"/>
    <n v="0"/>
    <n v="0"/>
    <n v="0"/>
    <n v="0"/>
    <n v="0"/>
    <n v="0"/>
    <n v="195254.36"/>
    <n v="995.17"/>
    <n v="0"/>
    <n v="0"/>
    <n v="0"/>
    <n v="0"/>
    <n v="0"/>
    <n v="0"/>
    <n v="0"/>
    <n v="0"/>
    <n v="0"/>
    <n v="0"/>
    <n v="195254.36"/>
    <n v="995.17"/>
    <n v="0"/>
    <n v="0"/>
    <n v="0"/>
    <n v="0"/>
    <n v="0"/>
    <x v="0"/>
    <x v="27"/>
    <x v="27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001."/>
    <s v="5.ACTIVIDAD"/>
    <s v="5004426. MONITOREO, SUPERVISION, EVALUACION Y CONTROL DEL PROGRAMA ARTICULADO NUTRICIONAL"/>
    <s v="20. SALUD"/>
    <s v="004. PLANEAMIENTO GUBERNAMENTAL"/>
    <s v="0005. PLANEAMIENTO INSTITUCIONAL"/>
    <s v="00001"/>
    <s v="0044276. MONITOREO, SUPERVISION, EVALUACION Y CONTROL DEL PROGRAMA ARTICULADO NUTRICIONAL"/>
    <s v="00060 - INFORME"/>
    <n v="4"/>
    <n v="2"/>
    <n v="2"/>
    <n v="2"/>
    <x v="51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1500"/>
    <n v="0"/>
    <n v="1500"/>
    <n v="584.1"/>
    <n v="584.1"/>
    <n v="0"/>
    <n v="0"/>
    <n v="584.1"/>
    <n v="0"/>
    <n v="0"/>
    <n v="0"/>
    <n v="0"/>
    <n v="0"/>
    <n v="0"/>
    <n v="0"/>
    <n v="0"/>
    <n v="0"/>
    <n v="0"/>
    <n v="0"/>
    <n v="0"/>
    <n v="584.1"/>
    <n v="0"/>
    <n v="0"/>
    <n v="0"/>
    <n v="0"/>
    <n v="0"/>
    <n v="0"/>
    <n v="0"/>
    <n v="0"/>
    <n v="0"/>
    <n v="0"/>
    <n v="0"/>
    <n v="0"/>
    <n v="584.1"/>
    <n v="0"/>
    <n v="0"/>
    <n v="0"/>
    <n v="0"/>
    <n v="0"/>
    <n v="0"/>
    <n v="0"/>
    <n v="0"/>
    <n v="0"/>
    <n v="0"/>
    <n v="0"/>
    <n v="584.1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876."/>
    <s v="5.ACTIVIDAD"/>
    <s v="5000027. ATENDER A NIÑOS CON INFECCIONES RESPIRATORIAS AGUDAS"/>
    <s v="20. SALUD"/>
    <s v="044. SALUD INDIVIDUAL"/>
    <s v="0096. ATENCION MEDICA BASICA"/>
    <s v="00001"/>
    <s v="0033311. ATENCION IRA"/>
    <s v="00016 - CASO TRATADO"/>
    <n v="3327"/>
    <n v="1663"/>
    <n v="751"/>
    <n v="751"/>
    <x v="66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500"/>
    <n v="-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876."/>
    <s v="5.ACTIVIDAD"/>
    <s v="5000028. ATENDER A NIÑOS CON ENFERMEDADES DIARREICAS AGUDAS"/>
    <s v="20. SALUD"/>
    <s v="044. SALUD INDIVIDUAL"/>
    <s v="0096. ATENCION MEDICA BASICA"/>
    <s v="00001"/>
    <s v="0033312. ATENCION EDA"/>
    <s v="00016 - CASO TRATADO"/>
    <n v="1504"/>
    <n v="752"/>
    <n v="552"/>
    <n v="552"/>
    <x v="67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1000"/>
    <n v="0"/>
    <n v="1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877."/>
    <s v="5.ACTIVIDAD"/>
    <s v="5000029. ATENDER A NIÑOS CON DIAGNOSTICO DE INFECCIONES RESPIRATORIAS AGUDAS CON COMPLICACIONES"/>
    <s v="20. SALUD"/>
    <s v="044. SALUD INDIVIDUAL"/>
    <s v="0097. ATENCION MEDICA ESPECIALIZADA"/>
    <s v="00001"/>
    <s v="0033313. ATENCION IRA CON COMPLICACIONES"/>
    <s v="00016 - CASO TRATADO"/>
    <n v="221"/>
    <n v="110"/>
    <n v="108"/>
    <n v="108"/>
    <x v="43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1500"/>
    <n v="-1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877."/>
    <s v="5.ACTIVIDAD"/>
    <s v="5000030. ATENDER A NIÑOS CON DIAGNOSTICO DE ENFERMEDAD DIARREICA AGUDA COMPLICADA"/>
    <s v="20. SALUD"/>
    <s v="044. SALUD INDIVIDUAL"/>
    <s v="0097. ATENCION MEDICA ESPECIALIZADA"/>
    <s v="00001"/>
    <s v="0033314. ATENCION EDA CON COMPLICACIONES"/>
    <s v="00016 - CASO TRATADO"/>
    <n v="48"/>
    <n v="24"/>
    <n v="20"/>
    <n v="20"/>
    <x v="68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1750"/>
    <n v="0"/>
    <n v="1750"/>
    <n v="1750"/>
    <n v="1750"/>
    <n v="0"/>
    <n v="1750"/>
    <n v="0"/>
    <n v="0"/>
    <n v="0"/>
    <n v="0"/>
    <n v="0"/>
    <n v="0"/>
    <n v="0"/>
    <n v="0"/>
    <n v="0"/>
    <n v="0"/>
    <n v="0"/>
    <n v="0"/>
    <n v="1750"/>
    <n v="0"/>
    <n v="0"/>
    <n v="0"/>
    <n v="0"/>
    <n v="0"/>
    <n v="0"/>
    <n v="0"/>
    <n v="0"/>
    <n v="0"/>
    <n v="0"/>
    <n v="0"/>
    <n v="1750"/>
    <n v="0"/>
    <n v="0"/>
    <n v="0"/>
    <n v="0"/>
    <n v="0"/>
    <n v="0"/>
    <n v="0"/>
    <n v="0"/>
    <n v="0"/>
    <n v="0"/>
    <n v="0"/>
    <n v="1750"/>
    <n v="0"/>
    <n v="0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878."/>
    <s v="5.ACTIVIDAD"/>
    <s v="5006270. BRINDAR ATENCION  A NIÑOS CON DIAGNOSTICO DE ANEMIA POR DEFICIENCIA DE  HIERRO"/>
    <s v="20. SALUD"/>
    <s v="044. SALUD INDIVIDUAL"/>
    <s v="0096. ATENCION MEDICA BASICA"/>
    <s v="00001"/>
    <s v="0289981. BRINDAR ATENCION A NIÑOS CON DIAGNOSTICO DE ANEMIA POR DEFICIENCIA DE HIERRO"/>
    <s v="00086 - PERSONA"/>
    <n v="242"/>
    <n v="121"/>
    <n v="83"/>
    <n v="83"/>
    <x v="69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500"/>
    <n v="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254."/>
    <s v="5.ACTIVIDAD"/>
    <s v="5000017. APLICACION DE VACUNAS COMPLETAS"/>
    <s v="20. SALUD"/>
    <s v="044. SALUD INDIVIDUAL"/>
    <s v="0096. ATENCION MEDICA BASICA"/>
    <s v="00001"/>
    <s v="0033254. NIÑOS CON VACUNA COMPLETA"/>
    <s v="00218 - NIÑO PROTEGIDO"/>
    <n v="3576"/>
    <n v="1788"/>
    <n v="1160"/>
    <n v="1160"/>
    <x v="59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500"/>
    <n v="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255."/>
    <s v="5.ACTIVIDAD"/>
    <s v="5000019. ADMINISTRAR SUPLEMENTO DE HIERRO Y VITAMINA A"/>
    <s v="20. SALUD"/>
    <s v="044. SALUD INDIVIDUAL"/>
    <s v="0096. ATENCION MEDICA BASICA"/>
    <s v="00001"/>
    <s v="0033256. NIÑOS CON SUPLEMENTO DE HIERRO Y VITAMINA A"/>
    <s v="00220 - NIÑO SUPLEMENTADO"/>
    <n v="1238"/>
    <n v="619"/>
    <n v="42"/>
    <n v="42"/>
    <x v="70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4500"/>
    <n v="2191"/>
    <n v="6691"/>
    <n v="5622.89"/>
    <n v="5622.89"/>
    <n v="0"/>
    <n v="4500"/>
    <n v="1122.8900000000001"/>
    <n v="0"/>
    <n v="0"/>
    <n v="0"/>
    <n v="0"/>
    <n v="0"/>
    <n v="0"/>
    <n v="0"/>
    <n v="0"/>
    <n v="0"/>
    <n v="0"/>
    <n v="0"/>
    <n v="4500"/>
    <n v="1122.8900000000001"/>
    <n v="0"/>
    <n v="0"/>
    <n v="0"/>
    <n v="0"/>
    <n v="0"/>
    <n v="0"/>
    <n v="0"/>
    <n v="0"/>
    <n v="0"/>
    <n v="0"/>
    <n v="4500"/>
    <n v="0"/>
    <n v="1122.8900000000001"/>
    <n v="0"/>
    <n v="0"/>
    <n v="0"/>
    <n v="0"/>
    <n v="0"/>
    <n v="0"/>
    <n v="0"/>
    <n v="0"/>
    <n v="0"/>
    <n v="4500"/>
    <n v="0"/>
    <n v="1122.8900000000001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315."/>
    <s v="5.ACTIVIDAD"/>
    <s v="5000031. BRINDAR ATENCION A OTRAS ENFERMEDADES PREVALENTES"/>
    <s v="20. SALUD"/>
    <s v="044. SALUD INDIVIDUAL"/>
    <s v="0096. ATENCION MEDICA BASICA"/>
    <s v="00001"/>
    <s v="0033315. ATENCION DE OTRAS ENFERMEDADES PREVALENTES"/>
    <s v="00016 - CASO TRATADO"/>
    <n v="440"/>
    <n v="220"/>
    <n v="198"/>
    <n v="198"/>
    <x v="6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1150"/>
    <n v="0"/>
    <n v="11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414."/>
    <s v="5.ACTIVIDAD"/>
    <s v="5000035. ATENDER A NIÑOS Y NIÑAS CON DIAGNOSTICO DE PARASITOSIS INTESTINAL"/>
    <s v="20. SALUD"/>
    <s v="044. SALUD INDIVIDUAL"/>
    <s v="0096. ATENCION MEDICA BASICA"/>
    <s v="00001"/>
    <s v="0033414. ATENCION DE NIÑOS Y NIÑAS CON PARASITOSIS INTESTINAL"/>
    <s v="00016 - CASO TRATADO"/>
    <n v="750"/>
    <n v="375"/>
    <n v="322"/>
    <n v="322"/>
    <x v="81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1500"/>
    <n v="0"/>
    <n v="1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172."/>
    <s v="5.ACTIVIDAD"/>
    <s v="5000037. BRINDAR ATENCION PRENATAL REENFOCADA"/>
    <s v="20. SALUD"/>
    <s v="044. SALUD INDIVIDUAL"/>
    <s v="0096. ATENCION MEDICA BASICA"/>
    <s v="00001"/>
    <s v="0033172. ATENCION PRENATAL REENFOCADA"/>
    <s v="00058 - GESTANTE CONTROLADA"/>
    <n v="3140"/>
    <n v="1570"/>
    <n v="1605"/>
    <n v="1605"/>
    <x v="9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400"/>
    <n v="0"/>
    <n v="4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001."/>
    <s v="5.ACTIVIDAD"/>
    <s v="5004433. MONITOREO, SUPERVISION, EVALUACION Y CONTROL DE VIH/SIDA - TUBERCULOSIS"/>
    <s v="20. SALUD"/>
    <s v="004. PLANEAMIENTO GUBERNAMENTAL"/>
    <s v="0005. PLANEAMIENTO INSTITUCIONAL"/>
    <s v="00001"/>
    <s v="0043950. MONITOREO, SUPERVISION, EVALUACION Y CONTROL DE VIH SIDA - TUBERCULOSIS"/>
    <s v="00060 - INFORME"/>
    <n v="4"/>
    <n v="2"/>
    <n v="2"/>
    <n v="2"/>
    <x v="71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1500"/>
    <n v="0"/>
    <n v="1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12."/>
    <s v="5.ACTIVIDAD"/>
    <s v="5004436. DESPISTAJE DE TUBERCULOSIS EN SINTOMATICOS RESPIRATORIOS"/>
    <s v="20. SALUD"/>
    <s v="044. SALUD INDIVIDUAL"/>
    <s v="0096. ATENCION MEDICA BASICA"/>
    <s v="00001"/>
    <s v="0043962. DESPISTAJE DE TUBERCULOSIS EN SINTOMATICOS RESPIRATORIOS"/>
    <s v="00087 - PERSONA ATENDIDA"/>
    <n v="3212"/>
    <n v="1606"/>
    <n v="647.70000000000005"/>
    <n v="647.70000000000005"/>
    <x v="47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800"/>
    <n v="0"/>
    <n v="800"/>
    <n v="800"/>
    <n v="800"/>
    <n v="0"/>
    <n v="800"/>
    <n v="0"/>
    <n v="0"/>
    <n v="0"/>
    <n v="0"/>
    <n v="0"/>
    <n v="0"/>
    <n v="0"/>
    <n v="0"/>
    <n v="0"/>
    <n v="0"/>
    <n v="0"/>
    <n v="0"/>
    <n v="800"/>
    <n v="0"/>
    <n v="0"/>
    <n v="0"/>
    <n v="0"/>
    <n v="0"/>
    <n v="0"/>
    <n v="0"/>
    <n v="0"/>
    <n v="0"/>
    <n v="0"/>
    <n v="0"/>
    <n v="800"/>
    <n v="0"/>
    <n v="0"/>
    <n v="0"/>
    <n v="0"/>
    <n v="0"/>
    <n v="0"/>
    <n v="0"/>
    <n v="0"/>
    <n v="0"/>
    <n v="0"/>
    <n v="0"/>
    <n v="800"/>
    <n v="0"/>
    <n v="0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14."/>
    <s v="5.ACTIVIDAD"/>
    <s v="5004438. DIAGNOSTICO DE CASOS DE TUBERCULOSIS"/>
    <s v="20. SALUD"/>
    <s v="044. SALUD INDIVIDUAL"/>
    <s v="0096. ATENCION MEDICA BASICA"/>
    <s v="00001"/>
    <s v="0043964. DIAGNOSTICO DE CASOS DE TUBERCULOSIS"/>
    <s v="00393 - TASA"/>
    <n v="140"/>
    <n v="70"/>
    <n v="48"/>
    <n v="48"/>
    <x v="20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2500"/>
    <n v="0"/>
    <n v="2500"/>
    <n v="2500"/>
    <n v="2500"/>
    <n v="0"/>
    <n v="2500"/>
    <n v="0"/>
    <n v="0"/>
    <n v="0"/>
    <n v="0"/>
    <n v="0"/>
    <n v="0"/>
    <n v="0"/>
    <n v="0"/>
    <n v="0"/>
    <n v="0"/>
    <n v="0"/>
    <n v="0"/>
    <n v="2500"/>
    <n v="0"/>
    <n v="0"/>
    <n v="0"/>
    <n v="0"/>
    <n v="0"/>
    <n v="0"/>
    <n v="0"/>
    <n v="0"/>
    <n v="0"/>
    <n v="0"/>
    <n v="0"/>
    <n v="2500"/>
    <n v="0"/>
    <n v="0"/>
    <n v="0"/>
    <n v="0"/>
    <n v="0"/>
    <n v="0"/>
    <n v="0"/>
    <n v="0"/>
    <n v="0"/>
    <n v="0"/>
    <n v="0"/>
    <n v="2500"/>
    <n v="0"/>
    <n v="0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15."/>
    <s v="5.ACTIVIDAD"/>
    <s v="5004439. TRATAMIENTO DE CASOS DE PERSONAS PRIVADAS DE SU LIBERTAD"/>
    <s v="20. SALUD"/>
    <s v="044. SALUD INDIVIDUAL"/>
    <s v="0096. ATENCION MEDICA BASICA"/>
    <s v="00001"/>
    <s v="0043966. TRATAMIENTO DE CASOS DE PERSONAS PRIVADAS DE SU LIBERTAD"/>
    <s v="00394 - TECNICO"/>
    <n v="12"/>
    <n v="6"/>
    <n v="4"/>
    <n v="4"/>
    <x v="72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500"/>
    <n v="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16."/>
    <s v="5.ACTIVIDAD"/>
    <s v="5004440. DESPISTAJE Y DIAGNOSTICO DE TUBERCULOSIS PARA PACIENTES CON COMORBILIDAD"/>
    <s v="20. SALUD"/>
    <s v="044. SALUD INDIVIDUAL"/>
    <s v="0097. ATENCION MEDICA ESPECIALIZADA"/>
    <s v="00001"/>
    <s v="0043973. DESPISTAJE Y DIAGNOSTICO DE TUBERCULOSIS PARA PACIENTES CON COMORBILIDAD"/>
    <s v="00087 - PERSONA ATENDIDA"/>
    <n v="559"/>
    <n v="279"/>
    <n v="103"/>
    <n v="103"/>
    <x v="73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700"/>
    <n v="0"/>
    <n v="7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59."/>
    <s v="5.ACTIVIDAD"/>
    <s v="5000069. ENTREGAR A ADULTOS Y JOVENES VARONES CONSEJERIA Y TAMIZAJE PARA ITS Y VIH/SIDA"/>
    <s v="20. SALUD"/>
    <s v="043. SALUD COLECTIVA"/>
    <s v="0095. CONTROL DE RIESGOS Y DAÑOS PARA LA SALUD"/>
    <s v="00001"/>
    <s v="0136033. ENTREGAR A ADULTOS Y JOVENES VARONES CONSEJERIA Y TAMIZAJE PARA ITS Y VIH/SIDA"/>
    <s v="00438 - PULGADAS"/>
    <n v="17000"/>
    <n v="8500"/>
    <n v="3513"/>
    <n v="3513"/>
    <x v="82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1500"/>
    <n v="0"/>
    <n v="1500"/>
    <n v="1500"/>
    <n v="1500"/>
    <n v="0"/>
    <n v="1500"/>
    <n v="0"/>
    <n v="0"/>
    <n v="0"/>
    <n v="0"/>
    <n v="0"/>
    <n v="0"/>
    <n v="0"/>
    <n v="0"/>
    <n v="0"/>
    <n v="0"/>
    <n v="0"/>
    <n v="0"/>
    <n v="1500"/>
    <n v="0"/>
    <n v="0"/>
    <n v="0"/>
    <n v="0"/>
    <n v="0"/>
    <n v="0"/>
    <n v="0"/>
    <n v="0"/>
    <n v="0"/>
    <n v="0"/>
    <n v="0"/>
    <n v="1500"/>
    <n v="0"/>
    <n v="0"/>
    <n v="0"/>
    <n v="0"/>
    <n v="0"/>
    <n v="0"/>
    <n v="0"/>
    <n v="0"/>
    <n v="0"/>
    <n v="0"/>
    <n v="0"/>
    <n v="1500"/>
    <n v="0"/>
    <n v="0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69."/>
    <s v="5.ACTIVIDAD"/>
    <s v="5000079. BRINDAR ATENCION INTEGRAL A PERSONAS CON DIAGNOSTICO DE VIH QUE ACUDEN A LOS SERVICIOS"/>
    <s v="20. SALUD"/>
    <s v="044. SALUD INDIVIDUAL"/>
    <s v="0096. ATENCION MEDICA BASICA"/>
    <s v="00001"/>
    <s v="0136038. BRINDAR ATENCION INTEGRAL A PERSONAS CON DIAGNOSTICO DE VIH QUE ACUDEN A LOS SERVICIOS"/>
    <s v="00087 - PERSONA ATENDIDA"/>
    <n v="34"/>
    <n v="17"/>
    <n v="30"/>
    <n v="30"/>
    <x v="75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1500"/>
    <n v="0"/>
    <n v="1500"/>
    <n v="1500"/>
    <n v="1500"/>
    <n v="0"/>
    <n v="1500"/>
    <n v="0"/>
    <n v="0"/>
    <n v="0"/>
    <n v="0"/>
    <n v="0"/>
    <n v="0"/>
    <n v="0"/>
    <n v="0"/>
    <n v="0"/>
    <n v="0"/>
    <n v="0"/>
    <n v="0"/>
    <n v="1500"/>
    <n v="0"/>
    <n v="0"/>
    <n v="0"/>
    <n v="0"/>
    <n v="0"/>
    <n v="0"/>
    <n v="0"/>
    <n v="0"/>
    <n v="0"/>
    <n v="0"/>
    <n v="0"/>
    <n v="1500"/>
    <n v="0"/>
    <n v="0"/>
    <n v="0"/>
    <n v="0"/>
    <n v="0"/>
    <n v="0"/>
    <n v="0"/>
    <n v="0"/>
    <n v="0"/>
    <n v="0"/>
    <n v="0"/>
    <n v="1500"/>
    <n v="0"/>
    <n v="0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74."/>
    <s v="5.ACTIVIDAD"/>
    <s v="5000084. BRINDAR TRATAMIENTO PARA TUBERCULOSIS A PERSONAS CON COMORBILIDAD"/>
    <s v="20. SALUD"/>
    <s v="044. SALUD INDIVIDUAL"/>
    <s v="0097. ATENCION MEDICA ESPECIALIZADA"/>
    <s v="00001"/>
    <s v="0136042. BRINDAR TRATAMIENTO PARA TUBERCULOSIS A PERSONAS CON COMORBILIDAD"/>
    <s v="00394 - TECNICO"/>
    <n v="14"/>
    <n v="7"/>
    <n v="6"/>
    <n v="6"/>
    <x v="83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3000"/>
    <n v="0"/>
    <n v="3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1"/>
    <s v=" ."/>
    <s v="3043983."/>
    <s v="5.ACTIVIDAD"/>
    <s v="5000093. EVALUACION, DIAGNOSTICO Y TRATAMIENTO DE ENFERMEDADES METAXENICAS"/>
    <s v="20. SALUD"/>
    <s v="044. SALUD INDIVIDUAL"/>
    <s v="0096. ATENCION MEDICA BASICA"/>
    <s v="00001"/>
    <s v="0043983. DIAGNOSTICO Y TRATAMIENTO DE ENFERMEDADES METAXENICAS"/>
    <s v="00394 - TECNICO"/>
    <n v="1379"/>
    <n v="689"/>
    <n v="198"/>
    <n v="198"/>
    <x v="46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2500"/>
    <n v="0"/>
    <n v="2500"/>
    <n v="2500"/>
    <n v="2500"/>
    <n v="0"/>
    <n v="2500"/>
    <n v="0"/>
    <n v="0"/>
    <n v="0"/>
    <n v="0"/>
    <n v="0"/>
    <n v="0"/>
    <n v="0"/>
    <n v="0"/>
    <n v="0"/>
    <n v="0"/>
    <n v="0"/>
    <n v="0"/>
    <n v="2500"/>
    <n v="0"/>
    <n v="0"/>
    <n v="0"/>
    <n v="0"/>
    <n v="0"/>
    <n v="0"/>
    <n v="0"/>
    <n v="0"/>
    <n v="0"/>
    <n v="0"/>
    <n v="0"/>
    <n v="2500"/>
    <n v="0"/>
    <n v="0"/>
    <n v="0"/>
    <n v="0"/>
    <n v="0"/>
    <n v="0"/>
    <n v="0"/>
    <n v="0"/>
    <n v="0"/>
    <n v="0"/>
    <n v="0"/>
    <n v="2500"/>
    <n v="0"/>
    <n v="0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1."/>
    <s v="5.ACTIVIDAD"/>
    <s v="5000109. EVALUACION DE TAMIZAJE Y DIAGNOSTICO DE PACIENTES CON CATARATAS"/>
    <s v="20. SALUD"/>
    <s v="044. SALUD INDIVIDUAL"/>
    <s v="0097. ATENCION MEDICA ESPECIALIZADA"/>
    <s v="00001"/>
    <s v="0135993. EVALUACION DE TAMIZAJE Y DIAGNOSTICO DE PACIENTES CON CATARATAS"/>
    <s v="00438 - PULGADAS"/>
    <n v="1000"/>
    <n v="500"/>
    <n v="157"/>
    <n v="157"/>
    <x v="84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500"/>
    <n v="-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3."/>
    <s v="5.ACTIVIDAD"/>
    <s v="5000111. EXAMENES DE TAMIZAJE Y DIAGNOSTICO DE PERSONAS CON ERRORES REFRACTIVOS"/>
    <s v="20. SALUD"/>
    <s v="044. SALUD INDIVIDUAL"/>
    <s v="0097. ATENCION MEDICA ESPECIALIZADA"/>
    <s v="00001"/>
    <s v="0135995. EXAMENES DE TAMIZAJE Y DIAGNOSTICO DE PERSONAS CON ERRORES REFRACTIVOS"/>
    <s v="00438 - PULGADAS"/>
    <n v="50"/>
    <n v="25"/>
    <n v="11"/>
    <n v="11"/>
    <x v="85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1200"/>
    <n v="-1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4."/>
    <s v="5.ACTIVIDAD"/>
    <s v="5000112. BRINDAR TRATAMIENTO A PACIENTES CON DIAGNOSTICO DE ERRORES REFRACTIVOS"/>
    <s v="20. SALUD"/>
    <s v="044. SALUD INDIVIDUAL"/>
    <s v="0097. ATENCION MEDICA ESPECIALIZADA"/>
    <s v="00001"/>
    <s v="0135996. BRINDAR TRATAMIENTO A PACIENTES CON DIAGNOSTICO DE ERRORES REFRACTIVOS"/>
    <s v="00394 - TECNICO"/>
    <n v="120"/>
    <n v="60"/>
    <n v="40"/>
    <n v="40"/>
    <x v="86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1500"/>
    <n v="-1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681."/>
    <s v="5.ACTIVIDAD"/>
    <s v="5006276. ATENCION ESTOMATOLOGICA RECUPERATIVA BASICA"/>
    <s v="20. SALUD"/>
    <s v="044. SALUD INDIVIDUAL"/>
    <s v="0096. ATENCION MEDICA BASICA"/>
    <s v="00001"/>
    <s v="0053295. ATENCION ESTOMATOLOGICA RECUPERATIVA BASICA"/>
    <s v="00394 - TECNICO"/>
    <n v="10352"/>
    <n v="5176"/>
    <n v="1014"/>
    <n v="1014"/>
    <x v="87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3500"/>
    <n v="0"/>
    <n v="3500"/>
    <n v="3500"/>
    <n v="3500"/>
    <n v="0"/>
    <n v="3500"/>
    <n v="0"/>
    <n v="0"/>
    <n v="0"/>
    <n v="0"/>
    <n v="0"/>
    <n v="0"/>
    <n v="0"/>
    <n v="0"/>
    <n v="0"/>
    <n v="0"/>
    <n v="0"/>
    <n v="0"/>
    <n v="3500"/>
    <n v="0"/>
    <n v="0"/>
    <n v="0"/>
    <n v="0"/>
    <n v="0"/>
    <n v="0"/>
    <n v="0"/>
    <n v="0"/>
    <n v="0"/>
    <n v="0"/>
    <n v="0"/>
    <n v="3500"/>
    <n v="0"/>
    <n v="0"/>
    <n v="0"/>
    <n v="0"/>
    <n v="0"/>
    <n v="0"/>
    <n v="0"/>
    <n v="0"/>
    <n v="0"/>
    <n v="0"/>
    <n v="0"/>
    <n v="3500"/>
    <n v="0"/>
    <n v="0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682."/>
    <s v="5.ACTIVIDAD"/>
    <s v="5000106. ATENCION ESTOMATOLOGICA ESPECIALIZADA BASICA"/>
    <s v="20. SALUD"/>
    <s v="044. SALUD INDIVIDUAL"/>
    <s v="0096. ATENCION MEDICA BASICA"/>
    <s v="00001"/>
    <s v="0053293. ATENCION ESTOMATOLOGICA ESPECIALIZADA BASICA"/>
    <s v="00394 - TECNICO"/>
    <n v="2372"/>
    <n v="1186"/>
    <n v="257"/>
    <n v="257"/>
    <x v="88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3100"/>
    <n v="0"/>
    <n v="3100"/>
    <n v="58.64"/>
    <n v="58.64"/>
    <n v="0"/>
    <n v="0"/>
    <n v="58.64"/>
    <n v="0"/>
    <n v="0"/>
    <n v="0"/>
    <n v="0"/>
    <n v="0"/>
    <n v="0"/>
    <n v="0"/>
    <n v="0"/>
    <n v="0"/>
    <n v="0"/>
    <n v="0"/>
    <n v="0"/>
    <n v="58.64"/>
    <n v="0"/>
    <n v="0"/>
    <n v="0"/>
    <n v="0"/>
    <n v="0"/>
    <n v="0"/>
    <n v="0"/>
    <n v="0"/>
    <n v="0"/>
    <n v="0"/>
    <n v="0"/>
    <n v="0"/>
    <n v="58.64"/>
    <n v="0"/>
    <n v="0"/>
    <n v="0"/>
    <n v="0"/>
    <n v="0"/>
    <n v="0"/>
    <n v="0"/>
    <n v="0"/>
    <n v="0"/>
    <n v="0"/>
    <n v="0"/>
    <n v="58.64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811."/>
    <s v="5.ACTIVIDAD"/>
    <s v="5005991. EXAMENES DE TAMIZAJE Y DIAGNOSTICO EN RECIEN NACIDO CON FACTORES DE RIESGO PARA RETINOPATIA DE LA PREMATURIDAD (ROP)"/>
    <s v="20. SALUD"/>
    <s v="044. SALUD INDIVIDUAL"/>
    <s v="0097. ATENCION MEDICA ESPECIALIZADA"/>
    <s v="00001"/>
    <s v="0215301. EXAMENES DE TAMIZAJE Y DIAGNOSTICO EN RECIEN NACIDO CON FACTORES DE RIESGO PARA RETINOPATIA DE LA PREMATURIDAD (ROP)"/>
    <s v="00438 - PULGADAS"/>
    <n v="62"/>
    <n v="31"/>
    <n v="23"/>
    <n v="23"/>
    <x v="89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2138"/>
    <n v="-21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812."/>
    <s v="5.ACTIVIDAD"/>
    <s v="5005992. BRINDAR TRATAMIENTO A NIÑOS PREMATUROS CON DIAGNOSTICO DE RETINOPATIA DE LA PREMATURIDAD (ROP)"/>
    <s v="20. SALUD"/>
    <s v="044. SALUD INDIVIDUAL"/>
    <s v="0097. ATENCION MEDICA ESPECIALIZADA"/>
    <s v="00001"/>
    <s v="0215302. BRINDAR TRATAMIENTO A NIÑOS PREMATUROS CON DIAGNOSTICO DE RETINOPATIA DE LA PREMATURIDAD (ROP)"/>
    <s v="00394 - TECNICO"/>
    <n v="24"/>
    <n v="12"/>
    <n v="12"/>
    <n v="12"/>
    <x v="77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1500"/>
    <n v="-1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66."/>
    <s v="5.ACTIVIDAD"/>
    <s v="5006015. TRATAMIENTO DEL CANCER DE MAMA"/>
    <s v="20. SALUD"/>
    <s v="044. SALUD INDIVIDUAL"/>
    <s v="0097. ATENCION MEDICA ESPECIALIZADA"/>
    <s v="00001"/>
    <s v="0215088. TRATAMIENTO DEL CANCER DE MAMA"/>
    <s v="00394 - TECNICO"/>
    <n v="11"/>
    <n v="6"/>
    <n v="11"/>
    <n v="11"/>
    <x v="90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2000"/>
    <n v="0"/>
    <n v="2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815."/>
    <s v="5.ACTIVIDAD"/>
    <s v="5006001. CONSEJERIA PARA PACIENTES DIAGNOSTICADOS CON CANCER"/>
    <s v="20. SALUD"/>
    <s v="044. SALUD INDIVIDUAL"/>
    <s v="0096. ATENCION MEDICA BASICA"/>
    <s v="00001"/>
    <s v="0215074. CONSEJERIA PARA PACIENTES DIAGNOSTICADOS CON CANCER"/>
    <s v="00259 - PERSONA INFORMADA"/>
    <n v="380"/>
    <n v="190"/>
    <n v="70"/>
    <n v="70"/>
    <x v="91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1000"/>
    <n v="-1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816."/>
    <s v="5.ACTIVIDAD"/>
    <s v="5006006. TAMIZAJE EN MUJER CON MAMOGRAFIA BILATERAL PARA DETECCION DE CANCER DE MAMA"/>
    <s v="20. SALUD"/>
    <s v="044. SALUD INDIVIDUAL"/>
    <s v="0096. ATENCION MEDICA BASICA"/>
    <s v="00001"/>
    <s v="0215079. TAMIZAJE EN MUJER CON MAMOGRAFIA BILATERAL PARA DETECCION DE CANCER DE MAMA"/>
    <s v="00438 - PULGADAS"/>
    <n v="1350"/>
    <n v="675"/>
    <n v="9"/>
    <n v="9"/>
    <x v="92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1000"/>
    <n v="-328"/>
    <n v="672"/>
    <n v="671.32"/>
    <n v="671.32"/>
    <n v="0"/>
    <n v="311.12"/>
    <n v="360.2"/>
    <n v="0"/>
    <n v="0"/>
    <n v="0"/>
    <n v="0"/>
    <n v="0"/>
    <n v="0"/>
    <n v="0"/>
    <n v="0"/>
    <n v="0"/>
    <n v="0"/>
    <n v="0"/>
    <n v="311.12"/>
    <n v="360.2"/>
    <n v="0"/>
    <n v="0"/>
    <n v="0"/>
    <n v="0"/>
    <n v="0"/>
    <n v="0"/>
    <n v="0"/>
    <n v="0"/>
    <n v="0"/>
    <n v="0"/>
    <n v="311.12"/>
    <n v="0"/>
    <n v="360.2"/>
    <n v="0"/>
    <n v="0"/>
    <n v="0"/>
    <n v="0"/>
    <n v="0"/>
    <n v="0"/>
    <n v="0"/>
    <n v="0"/>
    <n v="0"/>
    <n v="311.12"/>
    <n v="0"/>
    <n v="360.2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734."/>
    <s v="5.ACTIVIDAD"/>
    <s v="5005612. DESARROLLO DE LOS CENTROS Y ESPACIOS DE MONITOREO DE EMERGENCIAS Y DESASTRES"/>
    <s v="20. SALUD"/>
    <s v="016. GESTION DE RIESGOS Y EMERGENCIAS"/>
    <s v="0036. ATENCION INMEDIATA DE DESASTRES"/>
    <s v="00001"/>
    <s v="0160879. DESARROLLO DE LOS CENTROS Y ESPACIOS DE MONITOREO DE EMERGENCIAS Y DESASTRES"/>
    <s v="00248 - REPORTE"/>
    <n v="12"/>
    <n v="6"/>
    <n v="6"/>
    <n v="6"/>
    <x v="26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8000"/>
    <n v="0"/>
    <n v="8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3. ATENCION DE LA EMERGENCIA Y URGENCIA ESPECIALIZADA"/>
    <s v="20. SALUD"/>
    <s v="044. SALUD INDIVIDUAL"/>
    <s v="0097. ATENCION MEDICA ESPECIALIZADA"/>
    <s v="00001"/>
    <s v="0188299. ATENCION DE LA EMERGENCIA Y URGENCIA ESPECIALIZADA"/>
    <s v="00006 - ATENCION"/>
    <n v="25000"/>
    <n v="12500"/>
    <n v="7470"/>
    <n v="7470"/>
    <x v="28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5000"/>
    <n v="0"/>
    <n v="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801."/>
    <s v="5.ACTIVIDAD"/>
    <s v="5006279. SERVICIO DE TRANSPORTE ASISTIDO DE LA EMERGENCIA Y URGENCIA"/>
    <s v="20. SALUD"/>
    <s v="044. SALUD INDIVIDUAL"/>
    <s v="0096. ATENCION MEDICA BASICA"/>
    <s v="00001"/>
    <s v="0289988. SERVICIO DE TRANSPORTE ASISTIDO DE LA EMERGENCIA Y URGENCIA"/>
    <s v="00006 - ATENCION"/>
    <n v="500"/>
    <n v="250"/>
    <n v="57"/>
    <n v="57"/>
    <x v="65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2000"/>
    <n v="-2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0"/>
    <s v=" ."/>
    <s v="3000688."/>
    <s v="5.ACTIVIDAD"/>
    <s v="5004449. CAPACITACION EN MEDICINA DE REHABILITACION"/>
    <s v="20. SALUD"/>
    <s v="044. SALUD INDIVIDUAL"/>
    <s v="0097. ATENCION MEDICA ESPECIALIZADA"/>
    <s v="00001"/>
    <s v="0136018. CAPACITACION EN MEDICINA DE REHABILITACION"/>
    <s v="00088 - PERSONA CAPACITADA"/>
    <n v="60"/>
    <n v="30"/>
    <n v="0"/>
    <n v="0"/>
    <x v="0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1000"/>
    <n v="0"/>
    <n v="1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700."/>
    <s v="5.ACTIVIDAD"/>
    <s v="5005190. TRATAMIENTO AMBULATORIO DE PERSONAS CON TRANSTORNOS AFECTIVOS (DEPRESION Y CONDUCTA SUICIDA) Y DE ANSIEDAD"/>
    <s v="20. SALUD"/>
    <s v="044. SALUD INDIVIDUAL"/>
    <s v="0097. ATENCION MEDICA ESPECIALIZADA"/>
    <s v="00001"/>
    <s v="0136782. TRATAMIENTO AMBULATORIO DEPERSONAS CON TRASTORNOS AFECTIVOS (DEPRESION Y CONDUCTA SUICIDA) Y DE ANSIEDAD"/>
    <s v="00394 - TECNICO"/>
    <n v="80"/>
    <n v="40"/>
    <n v="16"/>
    <n v="16"/>
    <x v="63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0"/>
    <n v="700"/>
    <n v="700"/>
    <n v="616"/>
    <n v="616"/>
    <n v="0"/>
    <n v="0"/>
    <n v="0"/>
    <n v="616"/>
    <n v="0"/>
    <n v="0"/>
    <n v="0"/>
    <n v="0"/>
    <n v="0"/>
    <n v="0"/>
    <n v="0"/>
    <n v="0"/>
    <n v="0"/>
    <n v="0"/>
    <n v="0"/>
    <n v="0"/>
    <n v="616"/>
    <n v="0"/>
    <n v="0"/>
    <n v="0"/>
    <n v="0"/>
    <n v="0"/>
    <n v="0"/>
    <n v="0"/>
    <n v="0"/>
    <n v="0"/>
    <n v="0"/>
    <n v="0"/>
    <n v="0"/>
    <n v="616"/>
    <n v="0"/>
    <n v="0"/>
    <n v="0"/>
    <n v="0"/>
    <n v="0"/>
    <n v="0"/>
    <n v="0"/>
    <n v="0"/>
    <n v="0"/>
    <n v="0"/>
    <n v="0"/>
    <n v="616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700."/>
    <s v="5.ACTIVIDAD"/>
    <s v="5005191. TRATAMIENTO CON INTERNAMIENTO DE PERSONAS CON TRASTORNOS AFECTIVOS Y DE ANSIEDAD"/>
    <s v="20. SALUD"/>
    <s v="044. SALUD INDIVIDUAL"/>
    <s v="0097. ATENCION MEDICA ESPECIALIZADA"/>
    <s v="00001"/>
    <s v="0136783. TRATAMIENTO CON INTERNAMIENTO DE PERSONAS CON TRASTORNOS AFECTIVOS Y DE ANSIEDAD"/>
    <s v="00394 - TECNICO"/>
    <n v="50"/>
    <n v="25"/>
    <n v="20"/>
    <n v="20"/>
    <x v="64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8"/>
    <x v="2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10. ATENCION ESPECIALIZADA DE LA SALUD"/>
    <s v="20. SALUD"/>
    <s v="044. SALUD INDIVIDUAL"/>
    <s v="0097. ATENCION MEDICA ESPECIALIZADA"/>
    <s v="00001"/>
    <s v="0023484. ATENCION MEDICA ESPECIALIZADA"/>
    <s v="00006 - ATENCION"/>
    <n v="150000"/>
    <n v="75000"/>
    <n v="26347"/>
    <n v="26347"/>
    <x v="34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50000"/>
    <n v="-27200"/>
    <n v="228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8"/>
    <x v="28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286. VIGILANCIA Y CONTROL EPIDEMIOLOGICO"/>
    <s v="20. SALUD"/>
    <s v="043. SALUD COLECTIVA"/>
    <s v="0093. REGULACION Y CONTROL SANITARIO"/>
    <s v="00001"/>
    <s v="0000281. ATENCION SANITARIA"/>
    <s v="00001 - ACCION"/>
    <n v="10"/>
    <n v="0"/>
    <n v="4"/>
    <n v="4"/>
    <x v="93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5000"/>
    <n v="-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8"/>
    <x v="28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2. ATENCION EN CONSULTAS EXTERNAS"/>
    <s v="20. SALUD"/>
    <s v="044. SALUD INDIVIDUAL"/>
    <s v="0097. ATENCION MEDICA ESPECIALIZADA"/>
    <s v="00001"/>
    <s v="0000266. ATENCION EN CONSULTAS EXTERNAS"/>
    <s v="00006 - ATENCION"/>
    <n v="150000"/>
    <n v="75000"/>
    <n v="31583"/>
    <n v="31583"/>
    <x v="35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20000"/>
    <n v="0"/>
    <n v="2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8"/>
    <x v="28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8. ATENCION DE CUIDADOS INTENSIVOS"/>
    <s v="20. SALUD"/>
    <s v="044. SALUD INDIVIDUAL"/>
    <s v="0097. ATENCION MEDICA ESPECIALIZADA"/>
    <s v="00001"/>
    <s v="0000268. ATENCION EN CUIDADOS INTENSIVOS"/>
    <s v="00006 - ATENCION"/>
    <n v="20000"/>
    <n v="10000"/>
    <n v="9800"/>
    <n v="9800"/>
    <x v="50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30000"/>
    <n v="0"/>
    <n v="3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8"/>
    <x v="28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3. ASEO, LIMPIEZA Y COCINA"/>
    <s v=" 1. ASEO, LIMPIEZA Y TOCADOR"/>
    <s v="0 . RECURSOS ORDINARIOS"/>
    <n v="347579"/>
    <n v="0"/>
    <n v="347579"/>
    <n v="347579"/>
    <n v="170217.60000000001"/>
    <n v="0"/>
    <n v="77504"/>
    <n v="0"/>
    <n v="0"/>
    <n v="6373"/>
    <n v="86340.6"/>
    <n v="0"/>
    <n v="0"/>
    <n v="0"/>
    <n v="0"/>
    <n v="0"/>
    <n v="0"/>
    <n v="0"/>
    <n v="0"/>
    <n v="0"/>
    <n v="32900"/>
    <n v="0"/>
    <n v="92713.600000000006"/>
    <n v="0"/>
    <n v="0"/>
    <n v="0"/>
    <n v="0"/>
    <n v="0"/>
    <n v="0"/>
    <n v="0"/>
    <n v="0"/>
    <n v="0"/>
    <n v="32900"/>
    <n v="0"/>
    <n v="92713.600000000006"/>
    <n v="0"/>
    <n v="0"/>
    <n v="0"/>
    <n v="0"/>
    <n v="0"/>
    <n v="0"/>
    <n v="0"/>
    <n v="0"/>
    <n v="0"/>
    <n v="32900"/>
    <n v="0"/>
    <n v="92713.600000000006"/>
    <n v="0"/>
    <n v="0"/>
    <n v="0"/>
    <n v="0"/>
    <n v="0"/>
    <n v="0"/>
    <x v="0"/>
    <x v="28"/>
    <x v="28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876."/>
    <s v="5.ACTIVIDAD"/>
    <s v="5000027. ATENDER A NIÑOS CON INFECCIONES RESPIRATORIAS AGUDAS"/>
    <s v="20. SALUD"/>
    <s v="044. SALUD INDIVIDUAL"/>
    <s v="0096. ATENCION MEDICA BASICA"/>
    <s v="00001"/>
    <s v="0033311. ATENCION IRA"/>
    <s v="00016 - CASO TRATADO"/>
    <n v="3327"/>
    <n v="1663"/>
    <n v="751"/>
    <n v="751"/>
    <x v="66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4. ELECTRICIDAD, ILUMINACION Y ELECTRONICA"/>
    <s v=" 1. ELECTRICIDAD, ILUMINACION Y ELECTRONICA"/>
    <s v="0 . RECURSOS ORDINARIOS"/>
    <n v="0"/>
    <n v="1650"/>
    <n v="1650"/>
    <n v="1583.28"/>
    <n v="1583.28"/>
    <n v="0"/>
    <n v="0"/>
    <n v="0"/>
    <n v="1583.28"/>
    <n v="0"/>
    <n v="0"/>
    <n v="0"/>
    <n v="0"/>
    <n v="0"/>
    <n v="0"/>
    <n v="0"/>
    <n v="0"/>
    <n v="0"/>
    <n v="0"/>
    <n v="0"/>
    <n v="1583.28"/>
    <n v="0"/>
    <n v="0"/>
    <n v="0"/>
    <n v="0"/>
    <n v="0"/>
    <n v="0"/>
    <n v="0"/>
    <n v="0"/>
    <n v="0"/>
    <n v="0"/>
    <n v="0"/>
    <n v="0"/>
    <n v="1583.28"/>
    <n v="0"/>
    <n v="0"/>
    <n v="0"/>
    <n v="0"/>
    <n v="0"/>
    <n v="0"/>
    <n v="0"/>
    <n v="0"/>
    <n v="0"/>
    <n v="0"/>
    <n v="0"/>
    <n v="1583.28"/>
    <n v="0"/>
    <n v="0"/>
    <n v="0"/>
    <n v="0"/>
    <n v="0"/>
    <n v="0"/>
    <n v="0"/>
    <x v="0"/>
    <x v="29"/>
    <x v="2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877."/>
    <s v="5.ACTIVIDAD"/>
    <s v="5000029. ATENDER A NIÑOS CON DIAGNOSTICO DE INFECCIONES RESPIRATORIAS AGUDAS CON COMPLICACIONES"/>
    <s v="20. SALUD"/>
    <s v="044. SALUD INDIVIDUAL"/>
    <s v="0097. ATENCION MEDICA ESPECIALIZADA"/>
    <s v="00001"/>
    <s v="0033313. ATENCION IRA CON COMPLICACIONES"/>
    <s v="00016 - CASO TRATADO"/>
    <n v="221"/>
    <n v="110"/>
    <n v="108"/>
    <n v="108"/>
    <x v="43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4. ELECTRICIDAD, ILUMINACION Y ELECTRONICA"/>
    <s v=" 1. ELECTRICIDAD, ILUMINACION Y ELECTRONICA"/>
    <s v="0 . RECURSOS ORDINARIOS"/>
    <n v="0"/>
    <n v="3725"/>
    <n v="3725"/>
    <n v="1411"/>
    <n v="1411"/>
    <n v="0"/>
    <n v="0"/>
    <n v="1100"/>
    <n v="311"/>
    <n v="0"/>
    <n v="0"/>
    <n v="0"/>
    <n v="0"/>
    <n v="0"/>
    <n v="0"/>
    <n v="0"/>
    <n v="0"/>
    <n v="0"/>
    <n v="0"/>
    <n v="0"/>
    <n v="1411"/>
    <n v="0"/>
    <n v="0"/>
    <n v="0"/>
    <n v="0"/>
    <n v="0"/>
    <n v="0"/>
    <n v="0"/>
    <n v="0"/>
    <n v="0"/>
    <n v="0"/>
    <n v="0"/>
    <n v="1100"/>
    <n v="311"/>
    <n v="0"/>
    <n v="0"/>
    <n v="0"/>
    <n v="0"/>
    <n v="0"/>
    <n v="0"/>
    <n v="0"/>
    <n v="0"/>
    <n v="0"/>
    <n v="0"/>
    <n v="1100"/>
    <n v="311"/>
    <n v="0"/>
    <n v="0"/>
    <n v="0"/>
    <n v="0"/>
    <n v="0"/>
    <n v="0"/>
    <n v="0"/>
    <x v="0"/>
    <x v="29"/>
    <x v="2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255."/>
    <s v="5.ACTIVIDAD"/>
    <s v="5000018. ATENCION A NIÑOS CON CRECIMIENTO Y DESARROLLO - CRED COMPLETO PARA SU EDAD"/>
    <s v="20. SALUD"/>
    <s v="044. SALUD INDIVIDUAL"/>
    <s v="0096. ATENCION MEDICA BASICA"/>
    <s v="00001"/>
    <s v="0033255. NIÑOS CON CRED COMPLETO SEGUN EDAD"/>
    <s v="00219 - NIÑO CONTROLADO"/>
    <n v="1501"/>
    <n v="750"/>
    <n v="0"/>
    <n v="0"/>
    <x v="53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4. ELECTRICIDAD, ILUMINACION Y ELECTRONICA"/>
    <s v=" 1. ELECTRICIDAD, ILUMINACION Y ELECTRONICA"/>
    <s v="0 . RECURSOS ORDINARIOS"/>
    <n v="0"/>
    <n v="3300"/>
    <n v="3300"/>
    <n v="2342.37"/>
    <n v="2342.37"/>
    <n v="0"/>
    <n v="0"/>
    <n v="275"/>
    <n v="2067.37"/>
    <n v="0"/>
    <n v="0"/>
    <n v="0"/>
    <n v="0"/>
    <n v="0"/>
    <n v="0"/>
    <n v="0"/>
    <n v="0"/>
    <n v="0"/>
    <n v="0"/>
    <n v="0"/>
    <n v="2342.37"/>
    <n v="0"/>
    <n v="0"/>
    <n v="0"/>
    <n v="0"/>
    <n v="0"/>
    <n v="0"/>
    <n v="0"/>
    <n v="0"/>
    <n v="0"/>
    <n v="0"/>
    <n v="0"/>
    <n v="275"/>
    <n v="2067.37"/>
    <n v="0"/>
    <n v="0"/>
    <n v="0"/>
    <n v="0"/>
    <n v="0"/>
    <n v="0"/>
    <n v="0"/>
    <n v="0"/>
    <n v="0"/>
    <n v="0"/>
    <n v="275"/>
    <n v="2067.37"/>
    <n v="0"/>
    <n v="0"/>
    <n v="0"/>
    <n v="0"/>
    <n v="0"/>
    <n v="0"/>
    <n v="0"/>
    <x v="0"/>
    <x v="29"/>
    <x v="2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5."/>
    <s v="5.ACTIVIDAD"/>
    <s v="5000045. BRINDAR ATENCION DE PARTO NORMAL"/>
    <s v="20. SALUD"/>
    <s v="044. SALUD INDIVIDUAL"/>
    <s v="0096. ATENCION MEDICA BASICA"/>
    <s v="00001"/>
    <s v="0033295. ATENCION DEL PARTO NORMAL"/>
    <s v="00208 - PARTO NORMAL"/>
    <n v="1400"/>
    <n v="700"/>
    <n v="447"/>
    <n v="447"/>
    <x v="11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4. ELECTRICIDAD, ILUMINACION Y ELECTRONICA"/>
    <s v=" 1. ELECTRICIDAD, ILUMINACION Y ELECTRONICA"/>
    <s v="0 . RECURSOS ORDINARIOS"/>
    <n v="0"/>
    <n v="12967"/>
    <n v="12967"/>
    <n v="11687.75"/>
    <n v="11687.75"/>
    <n v="0"/>
    <n v="0"/>
    <n v="2311"/>
    <n v="9376.75"/>
    <n v="0"/>
    <n v="0"/>
    <n v="0"/>
    <n v="0"/>
    <n v="0"/>
    <n v="0"/>
    <n v="0"/>
    <n v="0"/>
    <n v="0"/>
    <n v="0"/>
    <n v="0"/>
    <n v="11687.75"/>
    <n v="0"/>
    <n v="0"/>
    <n v="0"/>
    <n v="0"/>
    <n v="0"/>
    <n v="0"/>
    <n v="0"/>
    <n v="0"/>
    <n v="0"/>
    <n v="0"/>
    <n v="0"/>
    <n v="2311"/>
    <n v="9376.75"/>
    <n v="0"/>
    <n v="0"/>
    <n v="0"/>
    <n v="0"/>
    <n v="0"/>
    <n v="0"/>
    <n v="0"/>
    <n v="0"/>
    <n v="0"/>
    <n v="0"/>
    <n v="2311"/>
    <n v="9376.75"/>
    <n v="0"/>
    <n v="0"/>
    <n v="0"/>
    <n v="0"/>
    <n v="0"/>
    <n v="0"/>
    <n v="0"/>
    <x v="0"/>
    <x v="29"/>
    <x v="2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5."/>
    <s v="5.ACTIVIDAD"/>
    <s v="5000053. ATENDER AL RECIEN NACIDO NORMAL"/>
    <s v="20. SALUD"/>
    <s v="044. SALUD INDIVIDUAL"/>
    <s v="0096. ATENCION MEDICA BASICA"/>
    <s v="00001"/>
    <s v="0033305. ATENCION DEL RECIEN NACIDO NORMAL"/>
    <s v="00239 - RECIEN NACIDO ATENDIDO"/>
    <n v="7546"/>
    <n v="3773"/>
    <n v="2820"/>
    <n v="2820"/>
    <x v="17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4. ELECTRICIDAD, ILUMINACION Y ELECTRONICA"/>
    <s v=" 1. ELECTRICIDAD, ILUMINACION Y ELECTRONICA"/>
    <s v="0 . RECURSOS ORDINARIOS"/>
    <n v="0"/>
    <n v="2960"/>
    <n v="2960"/>
    <n v="2809.61"/>
    <n v="2809.61"/>
    <n v="0"/>
    <n v="0"/>
    <n v="110"/>
    <n v="2285.61"/>
    <n v="0"/>
    <n v="414"/>
    <n v="0"/>
    <n v="0"/>
    <n v="0"/>
    <n v="0"/>
    <n v="0"/>
    <n v="0"/>
    <n v="0"/>
    <n v="0"/>
    <n v="0"/>
    <n v="2395.61"/>
    <n v="0"/>
    <n v="0"/>
    <n v="0"/>
    <n v="0"/>
    <n v="0"/>
    <n v="0"/>
    <n v="0"/>
    <n v="0"/>
    <n v="0"/>
    <n v="0"/>
    <n v="0"/>
    <n v="110"/>
    <n v="2285.61"/>
    <n v="0"/>
    <n v="0"/>
    <n v="0"/>
    <n v="0"/>
    <n v="0"/>
    <n v="0"/>
    <n v="0"/>
    <n v="0"/>
    <n v="0"/>
    <n v="0"/>
    <n v="110"/>
    <n v="2285.61"/>
    <n v="0"/>
    <n v="0"/>
    <n v="0"/>
    <n v="0"/>
    <n v="0"/>
    <n v="0"/>
    <n v="0"/>
    <x v="0"/>
    <x v="29"/>
    <x v="2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72."/>
    <s v="5.ACTIVIDAD"/>
    <s v="5006026. DIAGNOSTICO DE LEUCEMIA"/>
    <s v="20. SALUD"/>
    <s v="044. SALUD INDIVIDUAL"/>
    <s v="0097. ATENCION MEDICA ESPECIALIZADA"/>
    <s v="00001"/>
    <s v="0215099. DIAGNOSTICO DE LEUCEMIA"/>
    <s v="00393 - TASA"/>
    <n v="31"/>
    <n v="15"/>
    <n v="2"/>
    <n v="2"/>
    <x v="94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4. ELECTRICIDAD, ILUMINACION Y ELECTRONICA"/>
    <s v=" 1. ELECTRICIDAD, ILUMINACION Y ELECTRONICA"/>
    <s v="0 . RECURSOS ORDINARIOS"/>
    <n v="0"/>
    <n v="820"/>
    <n v="820"/>
    <n v="755.34"/>
    <n v="755.34"/>
    <n v="0"/>
    <n v="0"/>
    <n v="0"/>
    <n v="755.34"/>
    <n v="0"/>
    <n v="0"/>
    <n v="0"/>
    <n v="0"/>
    <n v="0"/>
    <n v="0"/>
    <n v="0"/>
    <n v="0"/>
    <n v="0"/>
    <n v="0"/>
    <n v="0"/>
    <n v="755.34"/>
    <n v="0"/>
    <n v="0"/>
    <n v="0"/>
    <n v="0"/>
    <n v="0"/>
    <n v="0"/>
    <n v="0"/>
    <n v="0"/>
    <n v="0"/>
    <n v="0"/>
    <n v="0"/>
    <n v="0"/>
    <n v="755.34"/>
    <n v="0"/>
    <n v="0"/>
    <n v="0"/>
    <n v="0"/>
    <n v="0"/>
    <n v="0"/>
    <n v="0"/>
    <n v="0"/>
    <n v="0"/>
    <n v="0"/>
    <n v="0"/>
    <n v="755.34"/>
    <n v="0"/>
    <n v="0"/>
    <n v="0"/>
    <n v="0"/>
    <n v="0"/>
    <n v="0"/>
    <n v="0"/>
    <x v="0"/>
    <x v="29"/>
    <x v="2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734."/>
    <s v="5.ACTIVIDAD"/>
    <s v="5005561. IMPLEMENTACION DE BRIGADAS PARA LA ATENCION FRENTE A EMERGENCIAS Y DESASTRES"/>
    <s v="20. SALUD"/>
    <s v="016. GESTION DE RIESGOS Y EMERGENCIAS"/>
    <s v="0036. ATENCION INMEDIATA DE DESASTRES"/>
    <s v="00001"/>
    <s v="0160777. IMPLEMENTACION DE BRIGADAS PARA LA ATENCION FRENTE A EMERGENCIAS Y DESASTRES"/>
    <s v="00583 - BRIGADA"/>
    <n v="2"/>
    <n v="1"/>
    <n v="0"/>
    <n v="0"/>
    <x v="57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4. ELECTRICIDAD, ILUMINACION Y ELECTRONICA"/>
    <s v=" 1. ELECTRICIDAD, ILUMINACION Y ELECTRONICA"/>
    <s v="0 . RECURSOS ORDINARIOS"/>
    <n v="8000"/>
    <n v="0"/>
    <n v="8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9"/>
    <x v="2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734."/>
    <s v="5.ACTIVIDAD"/>
    <s v="5005610. ADMINISTRACION Y ALMACENAMIENTO DE INFRAESTRUCTURA MOVIL PARA LA ASISTENCIA FRENTE A EMERGENCIAS Y DESASTRES"/>
    <s v="20. SALUD"/>
    <s v="016. GESTION DE RIESGOS Y EMERGENCIAS"/>
    <s v="0036. ATENCION INMEDIATA DE DESASTRES"/>
    <s v="00001"/>
    <s v="0160877. ADMINISTRACION Y ALMACENAMIENTO DE INFRAESTRUCTURA MOVIL PARA LA ASISTENCIA FRENTE A EMERGENCIAS Y DESASTRES"/>
    <s v="00614 - INFRAESTRUCTURA MOVIL"/>
    <n v="1"/>
    <n v="1"/>
    <n v="1"/>
    <n v="1"/>
    <x v="95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4. ELECTRICIDAD, ILUMINACION Y ELECTRONICA"/>
    <s v=" 1. ELECTRICIDAD, ILUMINACION Y ELECTRONICA"/>
    <s v="0 . RECURSOS ORDINARIOS"/>
    <n v="5000"/>
    <n v="0"/>
    <n v="5000"/>
    <n v="520"/>
    <n v="520"/>
    <n v="0"/>
    <n v="0"/>
    <n v="0"/>
    <n v="0"/>
    <n v="0"/>
    <n v="520"/>
    <n v="0"/>
    <n v="0"/>
    <n v="0"/>
    <n v="0"/>
    <n v="0"/>
    <n v="0"/>
    <n v="0"/>
    <n v="0"/>
    <n v="0"/>
    <n v="0"/>
    <n v="0"/>
    <n v="520"/>
    <n v="0"/>
    <n v="0"/>
    <n v="0"/>
    <n v="0"/>
    <n v="0"/>
    <n v="0"/>
    <n v="0"/>
    <n v="0"/>
    <n v="0"/>
    <n v="0"/>
    <n v="0"/>
    <n v="520"/>
    <n v="0"/>
    <n v="0"/>
    <n v="0"/>
    <n v="0"/>
    <n v="0"/>
    <n v="0"/>
    <n v="0"/>
    <n v="0"/>
    <n v="0"/>
    <n v="0"/>
    <n v="0"/>
    <n v="520"/>
    <n v="0"/>
    <n v="0"/>
    <n v="0"/>
    <n v="0"/>
    <n v="0"/>
    <n v="0"/>
    <x v="0"/>
    <x v="29"/>
    <x v="2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740."/>
    <s v="5.ACTIVIDAD"/>
    <s v="5005585. SEGURIDAD FISICO FUNCIONAL DE SERVICIOS PUBLICOS"/>
    <s v="20. SALUD"/>
    <s v="016. GESTION DE RIESGOS Y EMERGENCIAS"/>
    <s v="0035. PREVENCION DE DESASTRES"/>
    <s v="00001"/>
    <s v="0160801. SEGURIDAD FISICO FUNCIONAL DE SERVICIOS PUBLICOS"/>
    <s v="00065 - INTERVENCION"/>
    <n v="4"/>
    <n v="2"/>
    <n v="2"/>
    <n v="2"/>
    <x v="62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4. ELECTRICIDAD, ILUMINACION Y ELECTRONICA"/>
    <s v=" 1. ELECTRICIDAD, ILUMINACION Y ELECTRONICA"/>
    <s v="0 . RECURSOS ORDINARIOS"/>
    <n v="29000"/>
    <n v="0"/>
    <n v="29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9"/>
    <x v="2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2824. ATENCION AMBULATORIA DE URGENCIAS (PRIORIDAD III O IV) EN MODULOS HOSPITALARIOS DIFERENCIADOS AUTORIZADOS"/>
    <s v="20. SALUD"/>
    <s v="044. SALUD INDIVIDUAL"/>
    <s v="0096. ATENCION MEDICA BASICA"/>
    <s v="00001"/>
    <s v="0076144. ATENCION AMBULATORIA DE URGENCIAS (PRIORIDAD III O IV) EN MODULOS HOSPITALARIOS DIFERENCIADOS AUTORIZADOS"/>
    <s v="00006 - ATENCION"/>
    <n v="2000"/>
    <n v="1000"/>
    <n v="1994"/>
    <n v="1994"/>
    <x v="27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4. ELECTRICIDAD, ILUMINACION Y ELECTRONICA"/>
    <s v=" 1. ELECTRICIDAD, ILUMINACION Y ELECTRONICA"/>
    <s v="0 . RECURSOS ORDINARIOS"/>
    <n v="5000"/>
    <n v="0"/>
    <n v="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9"/>
    <x v="2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801."/>
    <s v="5.ACTIVIDAD"/>
    <s v="5006279. SERVICIO DE TRANSPORTE ASISTIDO DE LA EMERGENCIA Y URGENCIA"/>
    <s v="20. SALUD"/>
    <s v="044. SALUD INDIVIDUAL"/>
    <s v="0096. ATENCION MEDICA BASICA"/>
    <s v="00001"/>
    <s v="0289988. SERVICIO DE TRANSPORTE ASISTIDO DE LA EMERGENCIA Y URGENCIA"/>
    <s v="00006 - ATENCION"/>
    <n v="500"/>
    <n v="250"/>
    <n v="57"/>
    <n v="57"/>
    <x v="65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 4. ELECTRICIDAD, ILUMINACION Y ELECTRONICA"/>
    <s v=" 1. ELECTRICIDAD, ILUMINACION Y ELECTRONICA"/>
    <s v="0 . RECURSOS ORDINARIOS"/>
    <n v="0"/>
    <n v="8100"/>
    <n v="8100"/>
    <n v="7869.33"/>
    <n v="7869.33"/>
    <n v="0"/>
    <n v="0"/>
    <n v="1375"/>
    <n v="6494.33"/>
    <n v="0"/>
    <n v="0"/>
    <n v="0"/>
    <n v="0"/>
    <n v="0"/>
    <n v="0"/>
    <n v="0"/>
    <n v="0"/>
    <n v="0"/>
    <n v="0"/>
    <n v="0"/>
    <n v="7869.33"/>
    <n v="0"/>
    <n v="0"/>
    <n v="0"/>
    <n v="0"/>
    <n v="0"/>
    <n v="0"/>
    <n v="0"/>
    <n v="0"/>
    <n v="0"/>
    <n v="0"/>
    <n v="0"/>
    <n v="1375"/>
    <n v="6494.33"/>
    <n v="0"/>
    <n v="0"/>
    <n v="0"/>
    <n v="0"/>
    <n v="0"/>
    <n v="0"/>
    <n v="0"/>
    <n v="0"/>
    <n v="0"/>
    <n v="0"/>
    <n v="1375"/>
    <n v="6494.33"/>
    <n v="0"/>
    <n v="0"/>
    <n v="0"/>
    <n v="0"/>
    <n v="0"/>
    <n v="0"/>
    <n v="0"/>
    <x v="0"/>
    <x v="29"/>
    <x v="2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377. MEJORAMIENTO DE LA OFERTA DE LOS SERVICIOS DE SALUD"/>
    <s v="20. SALUD"/>
    <s v="044. SALUD INDIVIDUAL"/>
    <s v="0097. ATENCION MEDICA ESPECIALIZADA"/>
    <s v="00001"/>
    <s v="0006831. MEJORAR LA ATENCION A LA POBLACION"/>
    <s v="00006 - ATENCION"/>
    <n v="2400"/>
    <n v="1200"/>
    <n v="940"/>
    <n v="940"/>
    <x v="32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99. OTROS"/>
    <s v="99. OTROS"/>
    <s v="0 . RECURSOS ORDINARIOS"/>
    <n v="0"/>
    <n v="18360"/>
    <n v="18360"/>
    <n v="18360"/>
    <n v="18360"/>
    <n v="0"/>
    <n v="0"/>
    <n v="18360"/>
    <n v="0"/>
    <n v="0"/>
    <n v="0"/>
    <n v="0"/>
    <n v="0"/>
    <n v="0"/>
    <n v="0"/>
    <n v="0"/>
    <n v="0"/>
    <n v="0"/>
    <n v="0"/>
    <n v="18360"/>
    <n v="0"/>
    <n v="0"/>
    <n v="0"/>
    <n v="0"/>
    <n v="0"/>
    <n v="0"/>
    <n v="0"/>
    <n v="0"/>
    <n v="0"/>
    <n v="0"/>
    <n v="0"/>
    <n v="0"/>
    <n v="18360"/>
    <n v="0"/>
    <n v="0"/>
    <n v="0"/>
    <n v="0"/>
    <n v="0"/>
    <n v="0"/>
    <n v="0"/>
    <n v="0"/>
    <n v="0"/>
    <n v="0"/>
    <n v="0"/>
    <n v="18360"/>
    <n v="0"/>
    <n v="0"/>
    <n v="0"/>
    <n v="0"/>
    <n v="0"/>
    <n v="0"/>
    <n v="0"/>
    <n v="0"/>
    <x v="0"/>
    <x v="30"/>
    <x v="30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10. ATENCION ESPECIALIZADA DE LA SALUD"/>
    <s v="20. SALUD"/>
    <s v="044. SALUD INDIVIDUAL"/>
    <s v="0097. ATENCION MEDICA ESPECIALIZADA"/>
    <s v="00001"/>
    <s v="0023484. ATENCION MEDICA ESPECIALIZADA"/>
    <s v="00006 - ATENCION"/>
    <n v="150000"/>
    <n v="75000"/>
    <n v="26347"/>
    <n v="26347"/>
    <x v="34"/>
    <s v="05. AYACUCHO"/>
    <s v="01. HUAMANGA"/>
    <s v="01. AYACUCHO"/>
    <x v="0"/>
    <s v="00. RECURSOS ORDINARIOS"/>
    <s v="5. GASTOS CORRIENTES"/>
    <s v="2. GASTOS PRESUPUESTARIOS"/>
    <x v="2"/>
    <s v=" 1. COMPRA DE BIENES"/>
    <s v=" 5. MATERIALES Y  UTILES"/>
    <s v="99. OTROS"/>
    <s v="99. OTROS"/>
    <s v="0 . RECURSOS ORDINARIOS"/>
    <n v="0"/>
    <n v="8840"/>
    <n v="8840"/>
    <n v="8840"/>
    <n v="8840"/>
    <n v="0"/>
    <n v="0"/>
    <n v="8840"/>
    <n v="0"/>
    <n v="0"/>
    <n v="0"/>
    <n v="0"/>
    <n v="0"/>
    <n v="0"/>
    <n v="0"/>
    <n v="0"/>
    <n v="0"/>
    <n v="0"/>
    <n v="0"/>
    <n v="8840"/>
    <n v="0"/>
    <n v="0"/>
    <n v="0"/>
    <n v="0"/>
    <n v="0"/>
    <n v="0"/>
    <n v="0"/>
    <n v="0"/>
    <n v="0"/>
    <n v="0"/>
    <n v="0"/>
    <n v="0"/>
    <n v="8840"/>
    <n v="0"/>
    <n v="0"/>
    <n v="0"/>
    <n v="0"/>
    <n v="0"/>
    <n v="0"/>
    <n v="0"/>
    <n v="0"/>
    <n v="0"/>
    <n v="0"/>
    <n v="0"/>
    <n v="8840"/>
    <n v="0"/>
    <n v="0"/>
    <n v="0"/>
    <n v="0"/>
    <n v="0"/>
    <n v="0"/>
    <n v="0"/>
    <n v="0"/>
    <x v="0"/>
    <x v="30"/>
    <x v="30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377. MEJORAMIENTO DE LA OFERTA DE LOS SERVICIOS DE SALUD"/>
    <s v="20. SALUD"/>
    <s v="044. SALUD INDIVIDUAL"/>
    <s v="0097. ATENCION MEDICA ESPECIALIZADA"/>
    <s v="00001"/>
    <s v="0006831. MEJORAR LA ATENCION A LA POBLACION"/>
    <s v="00006 - ATENCION"/>
    <n v="2400"/>
    <n v="1200"/>
    <n v="940"/>
    <n v="940"/>
    <x v="32"/>
    <s v="05. AYACUCHO"/>
    <s v="01. HUAMANGA"/>
    <s v="01. AYACUCHO"/>
    <x v="0"/>
    <s v="00. RECURSOS ORDINARIOS"/>
    <s v="5. GASTOS CORRIENTES"/>
    <s v="2. GASTOS PRESUPUESTARIOS"/>
    <x v="2"/>
    <s v=" 1. COMPRA DE BIENES"/>
    <s v=" 6. REPUESTOS Y ACCESORIOS"/>
    <s v=" 1. REPUESTOS Y ACCESORIOS"/>
    <s v=" 1. DE VEHICULOS"/>
    <s v="0 . RECURSOS ORDINARIOS"/>
    <n v="10000"/>
    <n v="0"/>
    <n v="1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1"/>
    <x v="31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734."/>
    <s v="5.ACTIVIDAD"/>
    <s v="5005561. IMPLEMENTACION DE BRIGADAS PARA LA ATENCION FRENTE A EMERGENCIAS Y DESASTRES"/>
    <s v="20. SALUD"/>
    <s v="016. GESTION DE RIESGOS Y EMERGENCIAS"/>
    <s v="0036. ATENCION INMEDIATA DE DESASTRES"/>
    <s v="00001"/>
    <s v="0160777. IMPLEMENTACION DE BRIGADAS PARA LA ATENCION FRENTE A EMERGENCIAS Y DESASTRES"/>
    <s v="00583 - BRIGADA"/>
    <n v="2"/>
    <n v="1"/>
    <n v="0"/>
    <n v="0"/>
    <x v="57"/>
    <s v="05. AYACUCHO"/>
    <s v="01. HUAMANGA"/>
    <s v="01. AYACUCHO"/>
    <x v="0"/>
    <s v="00. RECURSOS ORDINARIOS"/>
    <s v="5. GASTOS CORRIENTES"/>
    <s v="2. GASTOS PRESUPUESTARIOS"/>
    <x v="2"/>
    <s v=" 1. COMPRA DE BIENES"/>
    <s v=" 6. REPUESTOS Y ACCESORIOS"/>
    <s v=" 1. REPUESTOS Y ACCESORIOS"/>
    <s v=" 4. DE SEGURIDAD"/>
    <s v="0 . RECURSOS ORDINARIOS"/>
    <n v="10000"/>
    <n v="0"/>
    <n v="1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2"/>
    <x v="32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12."/>
    <s v="5.ACTIVIDAD"/>
    <s v="5004436. DESPISTAJE DE TUBERCULOSIS EN SINTOMATICOS RESPIRATORIOS"/>
    <s v="20. SALUD"/>
    <s v="044. SALUD INDIVIDUAL"/>
    <s v="0096. ATENCION MEDICA BASICA"/>
    <s v="00001"/>
    <s v="0043962. DESPISTAJE DE TUBERCULOSIS EN SINTOMATICOS RESPIRATORIOS"/>
    <s v="00087 - PERSONA ATENDIDA"/>
    <n v="3212"/>
    <n v="1606"/>
    <n v="647.70000000000005"/>
    <n v="647.70000000000005"/>
    <x v="47"/>
    <s v="05. AYACUCHO"/>
    <s v="01. HUAMANGA"/>
    <s v="01. AYACUCHO"/>
    <x v="0"/>
    <s v="00. RECURSOS ORDINARIOS"/>
    <s v="5. GASTOS CORRIENTES"/>
    <s v="2. GASTOS PRESUPUESTARIOS"/>
    <x v="2"/>
    <s v=" 1. COMPRA DE BIENES"/>
    <s v=" 6. REPUESTOS Y ACCESORIOS"/>
    <s v=" 1. REPUESTOS Y ACCESORIOS"/>
    <s v="99. OTROS ACCESORIOS Y REPUESTOS"/>
    <s v="0 . RECURSOS ORDINARIOS"/>
    <n v="0"/>
    <n v="550"/>
    <n v="550"/>
    <n v="550"/>
    <n v="550"/>
    <n v="0"/>
    <n v="0"/>
    <n v="0"/>
    <n v="0"/>
    <n v="0"/>
    <n v="0"/>
    <n v="550"/>
    <n v="0"/>
    <n v="0"/>
    <n v="0"/>
    <n v="0"/>
    <n v="0"/>
    <n v="0"/>
    <n v="0"/>
    <n v="0"/>
    <n v="0"/>
    <n v="0"/>
    <n v="0"/>
    <n v="5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3"/>
    <x v="33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72."/>
    <s v="5.ACTIVIDAD"/>
    <s v="5006272. BRINDAR TRATAMIENTO OPORTUNO PARA TUBERCULOSIS"/>
    <s v="20. SALUD"/>
    <s v="044. SALUD INDIVIDUAL"/>
    <s v="0096. ATENCION MEDICA BASICA"/>
    <s v="00001"/>
    <s v="0289983. BRINDAR TRATAMIENTO OPORTUNO PARA TUBERCULOSIS"/>
    <s v="00394 - TECNICO"/>
    <n v="15"/>
    <n v="8"/>
    <n v="4"/>
    <n v="4"/>
    <x v="96"/>
    <s v="05. AYACUCHO"/>
    <s v="01. HUAMANGA"/>
    <s v="01. AYACUCHO"/>
    <x v="0"/>
    <s v="00. RECURSOS ORDINARIOS"/>
    <s v="5. GASTOS CORRIENTES"/>
    <s v="2. GASTOS PRESUPUESTARIOS"/>
    <x v="2"/>
    <s v=" 1. COMPRA DE BIENES"/>
    <s v=" 7. ENSERES"/>
    <s v=" 1. ENSERES"/>
    <s v=" 1. ENSERES"/>
    <s v="0 . RECURSOS ORDINARIOS"/>
    <n v="1500"/>
    <n v="0"/>
    <n v="1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4"/>
    <x v="34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68."/>
    <s v="5.ACTIVIDAD"/>
    <s v="5000078. BRINDAR A POBLACION CON INFECCIONES DE TRANSMISION SEXUAL TRATAMIENTO SEGUN GUIA CLINICAS"/>
    <s v="20. SALUD"/>
    <s v="044. SALUD INDIVIDUAL"/>
    <s v="0096. ATENCION MEDICA BASICA"/>
    <s v="00001"/>
    <s v="0136036. BRINDAR A POBLACION CON INFECCIONES DE TRANSMISION SEXUAL TRATAMIENTO SEGUN GUIA CLINICAS"/>
    <s v="00394 - TECNICO"/>
    <n v="400"/>
    <n v="200"/>
    <n v="39"/>
    <n v="39"/>
    <x v="97"/>
    <s v="05. AYACUCHO"/>
    <s v="01. HUAMANGA"/>
    <s v="01. AYACUCHO"/>
    <x v="0"/>
    <s v="00. RECURSOS ORDINARIOS"/>
    <s v="5. GASTOS CORRIENTES"/>
    <s v="2. GASTOS PRESUPUESTARIOS"/>
    <x v="2"/>
    <s v=" 1. COMPRA DE BIENES"/>
    <s v=" 7. ENSERES"/>
    <s v=" 1. ENSERES"/>
    <s v=" 1. ENSERES"/>
    <s v="0 . RECURSOS ORDINARIOS"/>
    <n v="1000"/>
    <n v="0"/>
    <n v="1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4"/>
    <x v="34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734."/>
    <s v="5.ACTIVIDAD"/>
    <s v="5005560. DESARROLLO DE SIMULACROS EN GESTION REACTIVA"/>
    <s v="20. SALUD"/>
    <s v="016. GESTION DE RIESGOS Y EMERGENCIAS"/>
    <s v="0036. ATENCION INMEDIATA DE DESASTRES"/>
    <s v="00001"/>
    <s v="0160776. DESARROLLO DE SIMULACROS EN GESTION REACTIVA"/>
    <s v="00248 - REPORTE"/>
    <n v="3"/>
    <n v="2"/>
    <n v="1"/>
    <n v="1"/>
    <x v="56"/>
    <s v="05. AYACUCHO"/>
    <s v="01. HUAMANGA"/>
    <s v="01. AYACUCHO"/>
    <x v="0"/>
    <s v="00. RECURSOS ORDINARIOS"/>
    <s v="5. GASTOS CORRIENTES"/>
    <s v="2. GASTOS PRESUPUESTARIOS"/>
    <x v="2"/>
    <s v=" 1. COMPRA DE BIENES"/>
    <s v=" 7. ENSERES"/>
    <s v=" 1. ENSERES"/>
    <s v=" 1. ENSERES"/>
    <s v="0 . RECURSOS ORDINARIOS"/>
    <n v="3000"/>
    <n v="0"/>
    <n v="3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4"/>
    <x v="34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734."/>
    <s v="5.ACTIVIDAD"/>
    <s v="5005610. ADMINISTRACION Y ALMACENAMIENTO DE INFRAESTRUCTURA MOVIL PARA LA ASISTENCIA FRENTE A EMERGENCIAS Y DESASTRES"/>
    <s v="20. SALUD"/>
    <s v="016. GESTION DE RIESGOS Y EMERGENCIAS"/>
    <s v="0036. ATENCION INMEDIATA DE DESASTRES"/>
    <s v="00001"/>
    <s v="0160877. ADMINISTRACION Y ALMACENAMIENTO DE INFRAESTRUCTURA MOVIL PARA LA ASISTENCIA FRENTE A EMERGENCIAS Y DESASTRES"/>
    <s v="00614 - INFRAESTRUCTURA MOVIL"/>
    <n v="1"/>
    <n v="1"/>
    <n v="1"/>
    <n v="1"/>
    <x v="95"/>
    <s v="05. AYACUCHO"/>
    <s v="01. HUAMANGA"/>
    <s v="01. AYACUCHO"/>
    <x v="0"/>
    <s v="00. RECURSOS ORDINARIOS"/>
    <s v="5. GASTOS CORRIENTES"/>
    <s v="2. GASTOS PRESUPUESTARIOS"/>
    <x v="2"/>
    <s v=" 1. COMPRA DE BIENES"/>
    <s v=" 7. ENSERES"/>
    <s v=" 1. ENSERES"/>
    <s v=" 1. ENSERES"/>
    <s v="0 . RECURSOS ORDINARIOS"/>
    <n v="8000"/>
    <n v="0"/>
    <n v="8000"/>
    <n v="7800"/>
    <n v="7800"/>
    <n v="0"/>
    <n v="0"/>
    <n v="0"/>
    <n v="0"/>
    <n v="0"/>
    <n v="7800"/>
    <n v="0"/>
    <n v="0"/>
    <n v="0"/>
    <n v="0"/>
    <n v="0"/>
    <n v="0"/>
    <n v="0"/>
    <n v="0"/>
    <n v="0"/>
    <n v="0"/>
    <n v="0"/>
    <n v="0"/>
    <n v="7800"/>
    <n v="0"/>
    <n v="0"/>
    <n v="0"/>
    <n v="0"/>
    <n v="0"/>
    <n v="0"/>
    <n v="0"/>
    <n v="0"/>
    <n v="0"/>
    <n v="0"/>
    <n v="0"/>
    <n v="7800"/>
    <n v="0"/>
    <n v="0"/>
    <n v="0"/>
    <n v="0"/>
    <n v="0"/>
    <n v="0"/>
    <n v="0"/>
    <n v="0"/>
    <n v="0"/>
    <n v="0"/>
    <n v="0"/>
    <n v="7800"/>
    <n v="0"/>
    <n v="0"/>
    <n v="0"/>
    <n v="0"/>
    <n v="0"/>
    <x v="0"/>
    <x v="34"/>
    <x v="34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734."/>
    <s v="5.ACTIVIDAD"/>
    <s v="5005612. DESARROLLO DE LOS CENTROS Y ESPACIOS DE MONITOREO DE EMERGENCIAS Y DESASTRES"/>
    <s v="20. SALUD"/>
    <s v="016. GESTION DE RIESGOS Y EMERGENCIAS"/>
    <s v="0036. ATENCION INMEDIATA DE DESASTRES"/>
    <s v="00001"/>
    <s v="0160879. DESARROLLO DE LOS CENTROS Y ESPACIOS DE MONITOREO DE EMERGENCIAS Y DESASTRES"/>
    <s v="00248 - REPORTE"/>
    <n v="12"/>
    <n v="6"/>
    <n v="6"/>
    <n v="6"/>
    <x v="26"/>
    <s v="05. AYACUCHO"/>
    <s v="01. HUAMANGA"/>
    <s v="01. AYACUCHO"/>
    <x v="0"/>
    <s v="00. RECURSOS ORDINARIOS"/>
    <s v="5. GASTOS CORRIENTES"/>
    <s v="2. GASTOS PRESUPUESTARIOS"/>
    <x v="2"/>
    <s v=" 1. COMPRA DE BIENES"/>
    <s v=" 7. ENSERES"/>
    <s v=" 1. ENSERES"/>
    <s v=" 1. ENSERES"/>
    <s v="0 . RECURSOS ORDINARIOS"/>
    <n v="5000"/>
    <n v="0"/>
    <n v="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4"/>
    <x v="34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0"/>
    <s v=" ."/>
    <s v="3000688."/>
    <s v="5.ACTIVIDAD"/>
    <s v="5005150. ATENCION DE REHABILITACION PARA PERSONAS CON DISCAPACIDAD FISICA"/>
    <s v="20. SALUD"/>
    <s v="044. SALUD INDIVIDUAL"/>
    <s v="0097. ATENCION MEDICA ESPECIALIZADA"/>
    <s v="00001"/>
    <s v="0136019. ATENCION DE REHABILITACION PARA PERSONAS CON DISCAPACIDAD FISICA"/>
    <s v="00087 - PERSONA ATENDIDA"/>
    <n v="12585"/>
    <n v="6293"/>
    <n v="9267"/>
    <n v="9267"/>
    <x v="98"/>
    <s v="05. AYACUCHO"/>
    <s v="01. HUAMANGA"/>
    <s v="01. AYACUCHO"/>
    <x v="0"/>
    <s v="00. RECURSOS ORDINARIOS"/>
    <s v="5. GASTOS CORRIENTES"/>
    <s v="2. GASTOS PRESUPUESTARIOS"/>
    <x v="2"/>
    <s v=" 1. COMPRA DE BIENES"/>
    <s v=" 7. ENSERES"/>
    <s v=" 1. ENSERES"/>
    <s v=" 1. ENSERES"/>
    <s v="0 . RECURSOS ORDINARIOS"/>
    <n v="0"/>
    <n v="6500"/>
    <n v="6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4"/>
    <x v="34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72."/>
    <s v="5.ACTIVIDAD"/>
    <s v="5006272. BRINDAR TRATAMIENTO OPORTUNO PARA TUBERCULOSIS"/>
    <s v="20. SALUD"/>
    <s v="044. SALUD INDIVIDUAL"/>
    <s v="0096. ATENCION MEDICA BASICA"/>
    <s v="00001"/>
    <s v="0289983. BRINDAR TRATAMIENTO OPORTUNO PARA TUBERCULOSIS"/>
    <s v="00394 - TECNICO"/>
    <n v="15"/>
    <n v="8"/>
    <n v="4"/>
    <n v="4"/>
    <x v="96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1. PRODUCTOS FARMACEUTICOS"/>
    <s v=" 2. MEDICAMENTOS"/>
    <s v="0 . RECURSOS ORDINARIOS"/>
    <n v="3500"/>
    <n v="-3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5"/>
    <x v="35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880."/>
    <s v="5.ACTIVIDAD"/>
    <s v="5006274. BRINDAR ATENCION INTEGRAL A PERSONAS CON DIAGNOSTICO DE HEPATITIS C"/>
    <s v="20. SALUD"/>
    <s v="044. SALUD INDIVIDUAL"/>
    <s v="0097. ATENCION MEDICA ESPECIALIZADA"/>
    <s v="00001"/>
    <s v="0289985. BRINDAR ATENCION INTEGRAL A PERSONAS CON DIAGNOSTICO DE HEPATITIS C"/>
    <s v="00394 - TECNICO"/>
    <n v="245"/>
    <n v="123"/>
    <n v="12"/>
    <n v="12"/>
    <x v="99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1. PRODUCTOS FARMACEUTICOS"/>
    <s v=" 2. MEDICAMENTOS"/>
    <s v="0 . RECURSOS ORDINARIOS"/>
    <n v="3500"/>
    <n v="-3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5"/>
    <x v="35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72."/>
    <s v="5.ACTIVIDAD"/>
    <s v="5000082. BRINDAR TRATAMIENTO OPORTUNO A PERSONAS QUE ACCEDEN AL EESS Y RECIBE TRATAMIENTO PARA TUBERCULOSIS EXTREMADAMENTE DROGO RESISTENTE (XDR)"/>
    <s v="20. SALUD"/>
    <s v="044. SALUD INDIVIDUAL"/>
    <s v="0097. ATENCION MEDICA ESPECIALIZADA"/>
    <s v="00001"/>
    <s v="0136041. BRINDAR TRATAMIENTO OPORTUNO A PERSONAS QUE ACCEDEN AL EESS Y RECIBE TRATAMIENTO PARA TUBERCULOSIS EXTREMADAMENTE DROGO RESISTENTE (XDR)"/>
    <s v="00394 - TECNICO"/>
    <n v="12"/>
    <n v="6"/>
    <n v="4"/>
    <n v="4"/>
    <x v="61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1. PRODUCTOS FARMACEUTICOS"/>
    <s v=" 2. MEDICAMENTOS"/>
    <s v="0 . RECURSOS ORDINARIOS"/>
    <n v="1845"/>
    <n v="-18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5"/>
    <x v="35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69."/>
    <s v="5.ACTIVIDAD"/>
    <s v="5006020. DIAGNOSTICO DEL CANCER DE PULMON"/>
    <s v="20. SALUD"/>
    <s v="044. SALUD INDIVIDUAL"/>
    <s v="0097. ATENCION MEDICA ESPECIALIZADA"/>
    <s v="00001"/>
    <s v="0215093. DIAGNOSTICO DEL CANCER DE PULMON"/>
    <s v="00393 - TASA"/>
    <n v="3"/>
    <n v="2"/>
    <n v="3"/>
    <n v="3"/>
    <x v="100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1. PRODUCTOS FARMACEUTICOS"/>
    <s v=" 2. MEDICAMENTOS"/>
    <s v="0 . RECURSOS ORDINARIOS"/>
    <n v="1500"/>
    <n v="-1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5"/>
    <x v="35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8. ATENCION DE CUIDADOS INTENSIVOS"/>
    <s v="20. SALUD"/>
    <s v="044. SALUD INDIVIDUAL"/>
    <s v="0097. ATENCION MEDICA ESPECIALIZADA"/>
    <s v="00001"/>
    <s v="0000268. ATENCION EN CUIDADOS INTENSIVOS"/>
    <s v="00006 - ATENCION"/>
    <n v="20000"/>
    <n v="10000"/>
    <n v="9800"/>
    <n v="9800"/>
    <x v="50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1. PRODUCTOS FARMACEUTICOS"/>
    <s v=" 2. MEDICAMENTOS"/>
    <s v="0 . RECURSOS ORDINARIOS"/>
    <n v="15000"/>
    <n v="0"/>
    <n v="15000"/>
    <n v="14504"/>
    <n v="14504"/>
    <n v="0"/>
    <n v="0"/>
    <n v="0"/>
    <n v="0"/>
    <n v="0"/>
    <n v="0"/>
    <n v="424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5"/>
    <x v="35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876."/>
    <s v="5.ACTIVIDAD"/>
    <s v="5000027. ATENDER A NIÑOS CON INFECCIONES RESPIRATORIAS AGUDAS"/>
    <s v="20. SALUD"/>
    <s v="044. SALUD INDIVIDUAL"/>
    <s v="0096. ATENCION MEDICA BASICA"/>
    <s v="00001"/>
    <s v="0033311. ATENCION IRA"/>
    <s v="00016 - CASO TRATADO"/>
    <n v="3327"/>
    <n v="1663"/>
    <n v="751"/>
    <n v="751"/>
    <x v="66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3000"/>
    <n v="-150"/>
    <n v="2850"/>
    <n v="500.64"/>
    <n v="500.64"/>
    <n v="0"/>
    <n v="0"/>
    <n v="0"/>
    <n v="0"/>
    <n v="500.64"/>
    <n v="0"/>
    <n v="0"/>
    <n v="0"/>
    <n v="0"/>
    <n v="0"/>
    <n v="0"/>
    <n v="0"/>
    <n v="0"/>
    <n v="0"/>
    <n v="0"/>
    <n v="0"/>
    <n v="500.64"/>
    <n v="0"/>
    <n v="0"/>
    <n v="0"/>
    <n v="0"/>
    <n v="0"/>
    <n v="0"/>
    <n v="0"/>
    <n v="0"/>
    <n v="0"/>
    <n v="0"/>
    <n v="0"/>
    <n v="500.64"/>
    <n v="0"/>
    <n v="0"/>
    <n v="0"/>
    <n v="0"/>
    <n v="0"/>
    <n v="0"/>
    <n v="0"/>
    <n v="0"/>
    <n v="0"/>
    <n v="0"/>
    <n v="0"/>
    <n v="500.64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876."/>
    <s v="5.ACTIVIDAD"/>
    <s v="5000028. ATENDER A NIÑOS CON ENFERMEDADES DIARREICAS AGUDAS"/>
    <s v="20. SALUD"/>
    <s v="044. SALUD INDIVIDUAL"/>
    <s v="0096. ATENCION MEDICA BASICA"/>
    <s v="00001"/>
    <s v="0033312. ATENCION EDA"/>
    <s v="00016 - CASO TRATADO"/>
    <n v="1504"/>
    <n v="752"/>
    <n v="552"/>
    <n v="552"/>
    <x v="67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4000"/>
    <n v="0"/>
    <n v="4000"/>
    <n v="1322.61"/>
    <n v="1322.61"/>
    <n v="0"/>
    <n v="0"/>
    <n v="0"/>
    <n v="0"/>
    <n v="1322.61"/>
    <n v="0"/>
    <n v="0"/>
    <n v="0"/>
    <n v="0"/>
    <n v="0"/>
    <n v="0"/>
    <n v="0"/>
    <n v="0"/>
    <n v="0"/>
    <n v="0"/>
    <n v="0"/>
    <n v="1322.61"/>
    <n v="0"/>
    <n v="0"/>
    <n v="0"/>
    <n v="0"/>
    <n v="0"/>
    <n v="0"/>
    <n v="0"/>
    <n v="0"/>
    <n v="0"/>
    <n v="0"/>
    <n v="0"/>
    <n v="1322.61"/>
    <n v="0"/>
    <n v="0"/>
    <n v="0"/>
    <n v="0"/>
    <n v="0"/>
    <n v="0"/>
    <n v="0"/>
    <n v="0"/>
    <n v="0"/>
    <n v="0"/>
    <n v="0"/>
    <n v="1322.61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877."/>
    <s v="5.ACTIVIDAD"/>
    <s v="5000029. ATENDER A NIÑOS CON DIAGNOSTICO DE INFECCIONES RESPIRATORIAS AGUDAS CON COMPLICACIONES"/>
    <s v="20. SALUD"/>
    <s v="044. SALUD INDIVIDUAL"/>
    <s v="0097. ATENCION MEDICA ESPECIALIZADA"/>
    <s v="00001"/>
    <s v="0033313. ATENCION IRA CON COMPLICACIONES"/>
    <s v="00016 - CASO TRATADO"/>
    <n v="221"/>
    <n v="110"/>
    <n v="108"/>
    <n v="108"/>
    <x v="43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9500"/>
    <n v="-2225"/>
    <n v="7275"/>
    <n v="7232.2"/>
    <n v="3571"/>
    <n v="0"/>
    <n v="3375"/>
    <n v="0"/>
    <n v="0"/>
    <n v="0"/>
    <n v="0"/>
    <n v="196"/>
    <n v="0"/>
    <n v="0"/>
    <n v="0"/>
    <n v="0"/>
    <n v="0"/>
    <n v="0"/>
    <n v="0"/>
    <n v="3375"/>
    <n v="0"/>
    <n v="0"/>
    <n v="0"/>
    <n v="0"/>
    <n v="0"/>
    <n v="0"/>
    <n v="0"/>
    <n v="0"/>
    <n v="0"/>
    <n v="0"/>
    <n v="0"/>
    <n v="3375"/>
    <n v="0"/>
    <n v="0"/>
    <n v="0"/>
    <n v="0"/>
    <n v="0"/>
    <n v="0"/>
    <n v="0"/>
    <n v="0"/>
    <n v="0"/>
    <n v="0"/>
    <n v="0"/>
    <n v="3375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877."/>
    <s v="5.ACTIVIDAD"/>
    <s v="5000030. ATENDER A NIÑOS CON DIAGNOSTICO DE ENFERMEDAD DIARREICA AGUDA COMPLICADA"/>
    <s v="20. SALUD"/>
    <s v="044. SALUD INDIVIDUAL"/>
    <s v="0097. ATENCION MEDICA ESPECIALIZADA"/>
    <s v="00001"/>
    <s v="0033314. ATENCION EDA CON COMPLICACIONES"/>
    <s v="00016 - CASO TRATADO"/>
    <n v="48"/>
    <n v="24"/>
    <n v="20"/>
    <n v="20"/>
    <x v="68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7500"/>
    <n v="0"/>
    <n v="7500"/>
    <n v="20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878."/>
    <s v="5.ACTIVIDAD"/>
    <s v="5006270. BRINDAR ATENCION  A NIÑOS CON DIAGNOSTICO DE ANEMIA POR DEFICIENCIA DE  HIERRO"/>
    <s v="20. SALUD"/>
    <s v="044. SALUD INDIVIDUAL"/>
    <s v="0096. ATENCION MEDICA BASICA"/>
    <s v="00001"/>
    <s v="0289981. BRINDAR ATENCION A NIÑOS CON DIAGNOSTICO DE ANEMIA POR DEFICIENCIA DE HIERRO"/>
    <s v="00086 - PERSONA"/>
    <n v="242"/>
    <n v="121"/>
    <n v="83"/>
    <n v="83"/>
    <x v="69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2500"/>
    <n v="0"/>
    <n v="2500"/>
    <n v="1862"/>
    <n v="1862"/>
    <n v="0"/>
    <n v="0"/>
    <n v="0"/>
    <n v="0"/>
    <n v="1862"/>
    <n v="0"/>
    <n v="0"/>
    <n v="0"/>
    <n v="0"/>
    <n v="0"/>
    <n v="0"/>
    <n v="0"/>
    <n v="0"/>
    <n v="0"/>
    <n v="0"/>
    <n v="0"/>
    <n v="0"/>
    <n v="1862"/>
    <n v="0"/>
    <n v="0"/>
    <n v="0"/>
    <n v="0"/>
    <n v="0"/>
    <n v="0"/>
    <n v="0"/>
    <n v="0"/>
    <n v="0"/>
    <n v="0"/>
    <n v="0"/>
    <n v="1862"/>
    <n v="0"/>
    <n v="0"/>
    <n v="0"/>
    <n v="0"/>
    <n v="0"/>
    <n v="0"/>
    <n v="0"/>
    <n v="0"/>
    <n v="0"/>
    <n v="0"/>
    <n v="0"/>
    <n v="1862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254."/>
    <s v="5.ACTIVIDAD"/>
    <s v="5000017. APLICACION DE VACUNAS COMPLETAS"/>
    <s v="20. SALUD"/>
    <s v="044. SALUD INDIVIDUAL"/>
    <s v="0096. ATENCION MEDICA BASICA"/>
    <s v="00001"/>
    <s v="0033254. NIÑOS CON VACUNA COMPLETA"/>
    <s v="00218 - NIÑO PROTEGIDO"/>
    <n v="3576"/>
    <n v="1788"/>
    <n v="1160"/>
    <n v="1160"/>
    <x v="59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2500"/>
    <n v="0"/>
    <n v="2500"/>
    <n v="150"/>
    <n v="150"/>
    <n v="0"/>
    <n v="0"/>
    <n v="0"/>
    <n v="0"/>
    <n v="150"/>
    <n v="0"/>
    <n v="0"/>
    <n v="0"/>
    <n v="0"/>
    <n v="0"/>
    <n v="0"/>
    <n v="0"/>
    <n v="0"/>
    <n v="0"/>
    <n v="0"/>
    <n v="0"/>
    <n v="0"/>
    <n v="0"/>
    <n v="150"/>
    <n v="0"/>
    <n v="0"/>
    <n v="0"/>
    <n v="0"/>
    <n v="0"/>
    <n v="0"/>
    <n v="0"/>
    <n v="0"/>
    <n v="0"/>
    <n v="0"/>
    <n v="0"/>
    <n v="150"/>
    <n v="0"/>
    <n v="0"/>
    <n v="0"/>
    <n v="0"/>
    <n v="0"/>
    <n v="0"/>
    <n v="0"/>
    <n v="0"/>
    <n v="0"/>
    <n v="0"/>
    <n v="0"/>
    <n v="15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255."/>
    <s v="5.ACTIVIDAD"/>
    <s v="5000018. ATENCION A NIÑOS CON CRECIMIENTO Y DESARROLLO - CRED COMPLETO PARA SU EDAD"/>
    <s v="20. SALUD"/>
    <s v="044. SALUD INDIVIDUAL"/>
    <s v="0096. ATENCION MEDICA BASICA"/>
    <s v="00001"/>
    <s v="0033255. NIÑOS CON CRED COMPLETO SEGUN EDAD"/>
    <s v="00219 - NIÑO CONTROLADO"/>
    <n v="1501"/>
    <n v="750"/>
    <n v="0"/>
    <n v="0"/>
    <x v="53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4500"/>
    <n v="-2300"/>
    <n v="2200"/>
    <n v="270"/>
    <n v="270"/>
    <n v="0"/>
    <n v="0"/>
    <n v="0"/>
    <n v="0"/>
    <n v="0"/>
    <n v="270"/>
    <n v="0"/>
    <n v="0"/>
    <n v="0"/>
    <n v="0"/>
    <n v="0"/>
    <n v="0"/>
    <n v="0"/>
    <n v="0"/>
    <n v="0"/>
    <n v="0"/>
    <n v="0"/>
    <n v="0"/>
    <n v="270"/>
    <n v="0"/>
    <n v="0"/>
    <n v="0"/>
    <n v="0"/>
    <n v="0"/>
    <n v="0"/>
    <n v="0"/>
    <n v="0"/>
    <n v="0"/>
    <n v="0"/>
    <n v="0"/>
    <n v="270"/>
    <n v="0"/>
    <n v="0"/>
    <n v="0"/>
    <n v="0"/>
    <n v="0"/>
    <n v="0"/>
    <n v="0"/>
    <n v="0"/>
    <n v="0"/>
    <n v="0"/>
    <n v="0"/>
    <n v="27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315."/>
    <s v="5.ACTIVIDAD"/>
    <s v="5000031. BRINDAR ATENCION A OTRAS ENFERMEDADES PREVALENTES"/>
    <s v="20. SALUD"/>
    <s v="044. SALUD INDIVIDUAL"/>
    <s v="0096. ATENCION MEDICA BASICA"/>
    <s v="00001"/>
    <s v="0033315. ATENCION DE OTRAS ENFERMEDADES PREVALENTES"/>
    <s v="00016 - CASO TRATADO"/>
    <n v="440"/>
    <n v="220"/>
    <n v="198"/>
    <n v="198"/>
    <x v="6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9000"/>
    <n v="0"/>
    <n v="9000"/>
    <n v="4599.6000000000004"/>
    <n v="4599.6000000000004"/>
    <n v="0"/>
    <n v="0"/>
    <n v="3799.6"/>
    <n v="0"/>
    <n v="0"/>
    <n v="0"/>
    <n v="800"/>
    <n v="0"/>
    <n v="0"/>
    <n v="0"/>
    <n v="0"/>
    <n v="0"/>
    <n v="0"/>
    <n v="0"/>
    <n v="0"/>
    <n v="0"/>
    <n v="0"/>
    <n v="3799.6"/>
    <n v="0"/>
    <n v="0"/>
    <n v="0"/>
    <n v="0"/>
    <n v="0"/>
    <n v="0"/>
    <n v="0"/>
    <n v="0"/>
    <n v="0"/>
    <n v="0"/>
    <n v="0"/>
    <n v="3799.6"/>
    <n v="0"/>
    <n v="0"/>
    <n v="0"/>
    <n v="0"/>
    <n v="0"/>
    <n v="0"/>
    <n v="0"/>
    <n v="0"/>
    <n v="0"/>
    <n v="0"/>
    <n v="0"/>
    <n v="3799.6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414."/>
    <s v="5.ACTIVIDAD"/>
    <s v="5000035. ATENDER A NIÑOS Y NIÑAS CON DIAGNOSTICO DE PARASITOSIS INTESTINAL"/>
    <s v="20. SALUD"/>
    <s v="044. SALUD INDIVIDUAL"/>
    <s v="0096. ATENCION MEDICA BASICA"/>
    <s v="00001"/>
    <s v="0033414. ATENCION DE NIÑOS Y NIÑAS CON PARASITOSIS INTESTINAL"/>
    <s v="00016 - CASO TRATADO"/>
    <n v="750"/>
    <n v="375"/>
    <n v="322"/>
    <n v="322"/>
    <x v="81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7000"/>
    <n v="0"/>
    <n v="7000"/>
    <n v="4200"/>
    <n v="4200"/>
    <n v="0"/>
    <n v="0"/>
    <n v="0"/>
    <n v="0"/>
    <n v="0"/>
    <n v="0"/>
    <n v="4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00005."/>
    <s v="5.ACTIVIDAD"/>
    <s v="5000058. BRINDAR SERVICIOS DE SALUD PARA PREVENCION DEL EMBARAZO A ADOLESCENTES"/>
    <s v="20. SALUD"/>
    <s v="044. SALUD INDIVIDUAL"/>
    <s v="0096. ATENCION MEDICA BASICA"/>
    <s v="00001"/>
    <s v="0053220. ADOLESCENTES ACCEDEN A SERVICIOS DE SALUD PARA PREVENCION DEL EMBARAZO"/>
    <s v="00150 - ADOLESCENTE"/>
    <n v="200"/>
    <n v="100"/>
    <n v="0"/>
    <n v="0"/>
    <x v="8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34398"/>
    <n v="0"/>
    <n v="34398"/>
    <n v="9431"/>
    <n v="5400"/>
    <n v="0"/>
    <n v="0"/>
    <n v="0"/>
    <n v="0"/>
    <n v="0"/>
    <n v="0"/>
    <n v="54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1."/>
    <s v="5.ACTIVIDAD"/>
    <s v="5000042. MEJORAMIENTO DEL ACCESO DE LA POBLACION A METODOS DE PLANIFICACION FAMILIAR"/>
    <s v="20. SALUD"/>
    <s v="044. SALUD INDIVIDUAL"/>
    <s v="0096. ATENCION MEDICA BASICA"/>
    <s v="00001"/>
    <s v="0033291. POBLACION ACCEDE A METODOS DE PLANIFICACION FAMILIAR"/>
    <s v="00206 - PAREJA PROTEGIDA"/>
    <n v="2838"/>
    <n v="1419"/>
    <n v="909"/>
    <n v="909"/>
    <x v="44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10000"/>
    <n v="0"/>
    <n v="10000"/>
    <n v="5552"/>
    <n v="5552"/>
    <n v="0"/>
    <n v="0"/>
    <n v="1171.5999999999999"/>
    <n v="0"/>
    <n v="1590.4"/>
    <n v="2790"/>
    <n v="0"/>
    <n v="0"/>
    <n v="0"/>
    <n v="0"/>
    <n v="0"/>
    <n v="0"/>
    <n v="0"/>
    <n v="0"/>
    <n v="0"/>
    <n v="1171.5999999999999"/>
    <n v="1590.4"/>
    <n v="2790"/>
    <n v="0"/>
    <n v="0"/>
    <n v="0"/>
    <n v="0"/>
    <n v="0"/>
    <n v="0"/>
    <n v="0"/>
    <n v="0"/>
    <n v="0"/>
    <n v="1094.8"/>
    <n v="1667.2"/>
    <n v="0"/>
    <n v="2790"/>
    <n v="0"/>
    <n v="0"/>
    <n v="0"/>
    <n v="0"/>
    <n v="0"/>
    <n v="0"/>
    <n v="0"/>
    <n v="0"/>
    <n v="1094.8"/>
    <n v="1667.2"/>
    <n v="0"/>
    <n v="279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4."/>
    <s v="5.ACTIVIDAD"/>
    <s v="5000044. BRINDAR ATENCION A LA GESTANTE CON COMPLICACIONES"/>
    <s v="20. SALUD"/>
    <s v="044. SALUD INDIVIDUAL"/>
    <s v="0097. ATENCION MEDICA ESPECIALIZADA"/>
    <s v="00001"/>
    <s v="0033294. ATENCION DE LA GESTANTE CON COMPLICACIONES"/>
    <s v="00016 - CASO TRATADO"/>
    <n v="4100"/>
    <n v="2050"/>
    <n v="1830"/>
    <n v="1830"/>
    <x v="10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40000"/>
    <n v="0"/>
    <n v="40000"/>
    <n v="21346.5"/>
    <n v="9397"/>
    <n v="0"/>
    <n v="0"/>
    <n v="0"/>
    <n v="3437"/>
    <n v="0"/>
    <n v="5960"/>
    <n v="0"/>
    <n v="0"/>
    <n v="0"/>
    <n v="0"/>
    <n v="0"/>
    <n v="0"/>
    <n v="0"/>
    <n v="0"/>
    <n v="0"/>
    <n v="0"/>
    <n v="3437"/>
    <n v="0"/>
    <n v="5960"/>
    <n v="0"/>
    <n v="0"/>
    <n v="0"/>
    <n v="0"/>
    <n v="0"/>
    <n v="0"/>
    <n v="0"/>
    <n v="0"/>
    <n v="0"/>
    <n v="3437"/>
    <n v="0"/>
    <n v="2160"/>
    <n v="0"/>
    <n v="0"/>
    <n v="0"/>
    <n v="0"/>
    <n v="0"/>
    <n v="0"/>
    <n v="0"/>
    <n v="0"/>
    <n v="0"/>
    <n v="3437"/>
    <n v="0"/>
    <n v="216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5."/>
    <s v="5.ACTIVIDAD"/>
    <s v="5000045. BRINDAR ATENCION DE PARTO NORMAL"/>
    <s v="20. SALUD"/>
    <s v="044. SALUD INDIVIDUAL"/>
    <s v="0096. ATENCION MEDICA BASICA"/>
    <s v="00001"/>
    <s v="0033295. ATENCION DEL PARTO NORMAL"/>
    <s v="00208 - PARTO NORMAL"/>
    <n v="1400"/>
    <n v="700"/>
    <n v="447"/>
    <n v="447"/>
    <x v="11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70000"/>
    <n v="-12967"/>
    <n v="57033"/>
    <n v="22029"/>
    <n v="5080"/>
    <n v="0"/>
    <n v="0"/>
    <n v="0"/>
    <n v="0"/>
    <n v="0"/>
    <n v="2880"/>
    <n v="2200"/>
    <n v="0"/>
    <n v="0"/>
    <n v="0"/>
    <n v="0"/>
    <n v="0"/>
    <n v="0"/>
    <n v="0"/>
    <n v="0"/>
    <n v="0"/>
    <n v="0"/>
    <n v="0"/>
    <n v="2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6."/>
    <s v="5.ACTIVIDAD"/>
    <s v="5000046. BRINDAR ATENCION DEL PARTO COMPLICADO NO QUIRURGICO"/>
    <s v="20. SALUD"/>
    <s v="044. SALUD INDIVIDUAL"/>
    <s v="0097. ATENCION MEDICA ESPECIALIZADA"/>
    <s v="00001"/>
    <s v="0033296. ATENCION DEL PARTO COMPLICADO NO QUIRURGICO"/>
    <s v="00209 - PARTO COMPLICADO"/>
    <n v="1420"/>
    <n v="710"/>
    <n v="443"/>
    <n v="443"/>
    <x v="12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50000"/>
    <n v="0"/>
    <n v="50000"/>
    <n v="19310.22"/>
    <n v="16330.72"/>
    <n v="0"/>
    <n v="0"/>
    <n v="660"/>
    <n v="9780.7199999999993"/>
    <n v="2900"/>
    <n v="0"/>
    <n v="2990"/>
    <n v="0"/>
    <n v="0"/>
    <n v="0"/>
    <n v="0"/>
    <n v="0"/>
    <n v="0"/>
    <n v="0"/>
    <n v="0"/>
    <n v="660"/>
    <n v="9780.7199999999993"/>
    <n v="0"/>
    <n v="2900"/>
    <n v="0"/>
    <n v="0"/>
    <n v="0"/>
    <n v="0"/>
    <n v="0"/>
    <n v="0"/>
    <n v="0"/>
    <n v="0"/>
    <n v="660"/>
    <n v="9780.7199999999993"/>
    <n v="0"/>
    <n v="2900"/>
    <n v="0"/>
    <n v="0"/>
    <n v="0"/>
    <n v="0"/>
    <n v="0"/>
    <n v="0"/>
    <n v="0"/>
    <n v="0"/>
    <n v="660"/>
    <n v="9780.7199999999993"/>
    <n v="0"/>
    <n v="290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7."/>
    <s v="5.ACTIVIDAD"/>
    <s v="5000047. BRINDAR ATENCION DEL PARTO COMPLICADO QUIRURGICO"/>
    <s v="20. SALUD"/>
    <s v="044. SALUD INDIVIDUAL"/>
    <s v="0097. ATENCION MEDICA ESPECIALIZADA"/>
    <s v="00001"/>
    <s v="0033297. ATENCION DEL PARTO COMPLICADO QUIRURGICO"/>
    <s v="00210 - CESAREA"/>
    <n v="1550"/>
    <n v="775"/>
    <n v="747"/>
    <n v="747"/>
    <x v="13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70000"/>
    <n v="0"/>
    <n v="70000"/>
    <n v="19460.64"/>
    <n v="13501.64"/>
    <n v="0"/>
    <n v="8520.2999999999993"/>
    <n v="0"/>
    <n v="0"/>
    <n v="0"/>
    <n v="0"/>
    <n v="4981.34"/>
    <n v="0"/>
    <n v="0"/>
    <n v="0"/>
    <n v="0"/>
    <n v="0"/>
    <n v="0"/>
    <n v="0"/>
    <n v="8520.2999999999993"/>
    <n v="0"/>
    <n v="0"/>
    <n v="0"/>
    <n v="0"/>
    <n v="0"/>
    <n v="0"/>
    <n v="0"/>
    <n v="0"/>
    <n v="0"/>
    <n v="0"/>
    <n v="0"/>
    <n v="8520.2999999999993"/>
    <n v="0"/>
    <n v="0"/>
    <n v="0"/>
    <n v="0"/>
    <n v="0"/>
    <n v="0"/>
    <n v="0"/>
    <n v="0"/>
    <n v="0"/>
    <n v="0"/>
    <n v="0"/>
    <n v="8520.2999999999993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8."/>
    <s v="5.ACTIVIDAD"/>
    <s v="5000048. ATENDER EL PUERPERIO"/>
    <s v="20. SALUD"/>
    <s v="044. SALUD INDIVIDUAL"/>
    <s v="0096. ATENCION MEDICA BASICA"/>
    <s v="00001"/>
    <s v="0033298. ATENCION DEL PUERPERIO"/>
    <s v="00628 - DELITO ATENDIDO"/>
    <n v="150"/>
    <n v="75"/>
    <n v="15"/>
    <n v="15"/>
    <x v="14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10000"/>
    <n v="0"/>
    <n v="1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9."/>
    <s v="5.ACTIVIDAD"/>
    <s v="5000049. ATENDER EL PUERPERIO CON COMPLICACIONES"/>
    <s v="20. SALUD"/>
    <s v="044. SALUD INDIVIDUAL"/>
    <s v="0097. ATENCION MEDICA ESPECIALIZADA"/>
    <s v="00001"/>
    <s v="0033299. ATENCION DEL PUERPERIO CON COMPLICACIONES"/>
    <s v="00016 - CASO TRATADO"/>
    <n v="240"/>
    <n v="120"/>
    <n v="94"/>
    <n v="94"/>
    <x v="15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30000"/>
    <n v="0"/>
    <n v="30000"/>
    <n v="8517.5"/>
    <n v="8517.5"/>
    <n v="0"/>
    <n v="0"/>
    <n v="0"/>
    <n v="0"/>
    <n v="2249.5"/>
    <n v="0"/>
    <n v="6268"/>
    <n v="0"/>
    <n v="0"/>
    <n v="0"/>
    <n v="0"/>
    <n v="0"/>
    <n v="0"/>
    <n v="0"/>
    <n v="0"/>
    <n v="0"/>
    <n v="2249.5"/>
    <n v="0"/>
    <n v="0"/>
    <n v="0"/>
    <n v="0"/>
    <n v="0"/>
    <n v="0"/>
    <n v="0"/>
    <n v="0"/>
    <n v="0"/>
    <n v="0"/>
    <n v="0"/>
    <n v="2249.5"/>
    <n v="0"/>
    <n v="0"/>
    <n v="0"/>
    <n v="0"/>
    <n v="0"/>
    <n v="0"/>
    <n v="0"/>
    <n v="0"/>
    <n v="0"/>
    <n v="0"/>
    <n v="0"/>
    <n v="2249.5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0."/>
    <s v="5.ACTIVIDAD"/>
    <s v="5000050. ATENDER COMPLICACIONES OBSTETRICAS EN UNIDAD DE CUIDADOS INTENSIVOS"/>
    <s v="20. SALUD"/>
    <s v="044. SALUD INDIVIDUAL"/>
    <s v="0097. ATENCION MEDICA ESPECIALIZADA"/>
    <s v="00001"/>
    <s v="0033300. ATENCION OBSTETRICA EN UNIDAD DE CUIDADOS INTENSIVOS"/>
    <s v="00016 - CASO TRATADO"/>
    <n v="68"/>
    <n v="34"/>
    <n v="16"/>
    <n v="16"/>
    <x v="16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30000"/>
    <n v="0"/>
    <n v="30000"/>
    <n v="29629.200000000001"/>
    <n v="29629.200000000001"/>
    <n v="0"/>
    <n v="1829.7"/>
    <n v="0"/>
    <n v="0"/>
    <n v="9459.5"/>
    <n v="18340"/>
    <n v="0"/>
    <n v="0"/>
    <n v="0"/>
    <n v="0"/>
    <n v="0"/>
    <n v="0"/>
    <n v="0"/>
    <n v="0"/>
    <n v="1829.7"/>
    <n v="0"/>
    <n v="2209.5"/>
    <n v="0"/>
    <n v="25590"/>
    <n v="0"/>
    <n v="0"/>
    <n v="0"/>
    <n v="0"/>
    <n v="0"/>
    <n v="0"/>
    <n v="0"/>
    <n v="1829.7"/>
    <n v="0"/>
    <n v="2209.5"/>
    <n v="0"/>
    <n v="8150"/>
    <n v="0"/>
    <n v="0"/>
    <n v="0"/>
    <n v="0"/>
    <n v="0"/>
    <n v="0"/>
    <n v="0"/>
    <n v="1829.7"/>
    <n v="0"/>
    <n v="2209.5"/>
    <n v="0"/>
    <n v="815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5."/>
    <s v="5.ACTIVIDAD"/>
    <s v="5000053. ATENDER AL RECIEN NACIDO NORMAL"/>
    <s v="20. SALUD"/>
    <s v="044. SALUD INDIVIDUAL"/>
    <s v="0096. ATENCION MEDICA BASICA"/>
    <s v="00001"/>
    <s v="0033305. ATENCION DEL RECIEN NACIDO NORMAL"/>
    <s v="00239 - RECIEN NACIDO ATENDIDO"/>
    <n v="7546"/>
    <n v="3773"/>
    <n v="2820"/>
    <n v="2820"/>
    <x v="17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20000"/>
    <n v="-2960"/>
    <n v="17040"/>
    <n v="15541"/>
    <n v="12066"/>
    <n v="0"/>
    <n v="0"/>
    <n v="0"/>
    <n v="0"/>
    <n v="0"/>
    <n v="3750"/>
    <n v="8316"/>
    <n v="0"/>
    <n v="0"/>
    <n v="0"/>
    <n v="0"/>
    <n v="0"/>
    <n v="0"/>
    <n v="0"/>
    <n v="0"/>
    <n v="0"/>
    <n v="0"/>
    <n v="3750"/>
    <n v="0"/>
    <n v="0"/>
    <n v="0"/>
    <n v="0"/>
    <n v="0"/>
    <n v="0"/>
    <n v="0"/>
    <n v="0"/>
    <n v="0"/>
    <n v="0"/>
    <n v="0"/>
    <n v="3750"/>
    <n v="0"/>
    <n v="0"/>
    <n v="0"/>
    <n v="0"/>
    <n v="0"/>
    <n v="0"/>
    <n v="0"/>
    <n v="0"/>
    <n v="0"/>
    <n v="0"/>
    <n v="0"/>
    <n v="375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6."/>
    <s v="5.ACTIVIDAD"/>
    <s v="5000054. ATENDER AL RECIEN NACIDO CON COMPLICACIONES"/>
    <s v="20. SALUD"/>
    <s v="044. SALUD INDIVIDUAL"/>
    <s v="0097. ATENCION MEDICA ESPECIALIZADA"/>
    <s v="00001"/>
    <s v="0033306. ATENCION DEL RECIEN NACIDO CON COMPLICACIONES"/>
    <s v="00016 - CASO TRATADO"/>
    <n v="2469"/>
    <n v="1234"/>
    <n v="728"/>
    <n v="728"/>
    <x v="18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30000"/>
    <n v="0"/>
    <n v="30000"/>
    <n v="2809.42"/>
    <n v="2809.42"/>
    <n v="0"/>
    <n v="0"/>
    <n v="0"/>
    <n v="0"/>
    <n v="2809.42"/>
    <n v="0"/>
    <n v="0"/>
    <n v="0"/>
    <n v="0"/>
    <n v="0"/>
    <n v="0"/>
    <n v="0"/>
    <n v="0"/>
    <n v="0"/>
    <n v="0"/>
    <n v="0"/>
    <n v="2519.42"/>
    <n v="0"/>
    <n v="290"/>
    <n v="0"/>
    <n v="0"/>
    <n v="0"/>
    <n v="0"/>
    <n v="0"/>
    <n v="0"/>
    <n v="0"/>
    <n v="0"/>
    <n v="0"/>
    <n v="2519.42"/>
    <n v="0"/>
    <n v="290"/>
    <n v="0"/>
    <n v="0"/>
    <n v="0"/>
    <n v="0"/>
    <n v="0"/>
    <n v="0"/>
    <n v="0"/>
    <n v="0"/>
    <n v="0"/>
    <n v="2519.42"/>
    <n v="0"/>
    <n v="29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7."/>
    <s v="5.ACTIVIDAD"/>
    <s v="5000055. ATENDER AL RECIEN NACIDO CON COMPLICACIONES QUE REQUIERE UNIDAD DE CUIDADOS INTENSIVOS NEONATALES - UCIN"/>
    <s v="20. SALUD"/>
    <s v="044. SALUD INDIVIDUAL"/>
    <s v="0097. ATENCION MEDICA ESPECIALIZADA"/>
    <s v="00001"/>
    <s v="0033307. ATENCION DEL RECIEN NACIDO CON COMPLICACIONES QUE REQUIERE UNIDAD DE CUIDADOS INTENSIVOS NEONATALES - UCIN"/>
    <s v="00016 - CASO TRATADO"/>
    <n v="1148"/>
    <n v="574"/>
    <n v="436"/>
    <n v="436"/>
    <x v="19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50000"/>
    <n v="0"/>
    <n v="50000"/>
    <n v="39685.9"/>
    <n v="39685.9"/>
    <n v="0"/>
    <n v="0"/>
    <n v="39944.9"/>
    <n v="-259"/>
    <n v="0"/>
    <n v="0"/>
    <n v="0"/>
    <n v="0"/>
    <n v="0"/>
    <n v="0"/>
    <n v="0"/>
    <n v="0"/>
    <n v="0"/>
    <n v="0"/>
    <n v="0"/>
    <n v="2185.5"/>
    <n v="0"/>
    <n v="37500.400000000001"/>
    <n v="0"/>
    <n v="0"/>
    <n v="0"/>
    <n v="0"/>
    <n v="0"/>
    <n v="0"/>
    <n v="0"/>
    <n v="0"/>
    <n v="0"/>
    <n v="2185.5"/>
    <n v="0"/>
    <n v="37500.400000000001"/>
    <n v="0"/>
    <n v="0"/>
    <n v="0"/>
    <n v="0"/>
    <n v="0"/>
    <n v="0"/>
    <n v="0"/>
    <n v="0"/>
    <n v="0"/>
    <n v="2185.5"/>
    <n v="0"/>
    <n v="37500.400000000001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12."/>
    <s v="5.ACTIVIDAD"/>
    <s v="5004436. DESPISTAJE DE TUBERCULOSIS EN SINTOMATICOS RESPIRATORIOS"/>
    <s v="20. SALUD"/>
    <s v="044. SALUD INDIVIDUAL"/>
    <s v="0096. ATENCION MEDICA BASICA"/>
    <s v="00001"/>
    <s v="0043962. DESPISTAJE DE TUBERCULOSIS EN SINTOMATICOS RESPIRATORIOS"/>
    <s v="00087 - PERSONA ATENDIDA"/>
    <n v="3212"/>
    <n v="1606"/>
    <n v="647.70000000000005"/>
    <n v="647.70000000000005"/>
    <x v="47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4500"/>
    <n v="1230"/>
    <n v="5730"/>
    <n v="2996"/>
    <n v="2996"/>
    <n v="0"/>
    <n v="0"/>
    <n v="0"/>
    <n v="0"/>
    <n v="0"/>
    <n v="0"/>
    <n v="2996"/>
    <n v="0"/>
    <n v="0"/>
    <n v="0"/>
    <n v="0"/>
    <n v="0"/>
    <n v="0"/>
    <n v="0"/>
    <n v="0"/>
    <n v="0"/>
    <n v="0"/>
    <n v="0"/>
    <n v="2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13."/>
    <s v="5.ACTIVIDAD"/>
    <s v="5004437. CONTROL Y TRATAMIENTO PREVENTIVO DE CONTACTOS DE CASOS TUBERCULOSIS (GENERAL, INDIGENA, PRIVADA DE SU LIBERTAD)"/>
    <s v="20. SALUD"/>
    <s v="044. SALUD INDIVIDUAL"/>
    <s v="0096. ATENCION MEDICA BASICA"/>
    <s v="00001"/>
    <s v="0043963. CONTROL Y TRATAMIENTO PREVENTIVO DE CONTACTOS DE CASOS TUBERCULOSIS (GENERAL, INDIGENA, PRIVADA DE SU LIBERTAD)"/>
    <s v="00087 - PERSONA ATENDIDA"/>
    <n v="13"/>
    <n v="7"/>
    <n v="32"/>
    <n v="32"/>
    <x v="101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8500"/>
    <n v="0"/>
    <n v="8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14."/>
    <s v="5.ACTIVIDAD"/>
    <s v="5004438. DIAGNOSTICO DE CASOS DE TUBERCULOSIS"/>
    <s v="20. SALUD"/>
    <s v="044. SALUD INDIVIDUAL"/>
    <s v="0096. ATENCION MEDICA BASICA"/>
    <s v="00001"/>
    <s v="0043964. DIAGNOSTICO DE CASOS DE TUBERCULOSIS"/>
    <s v="00393 - TASA"/>
    <n v="140"/>
    <n v="70"/>
    <n v="48"/>
    <n v="48"/>
    <x v="20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13000"/>
    <n v="0"/>
    <n v="13000"/>
    <n v="10639"/>
    <n v="4245"/>
    <n v="0"/>
    <n v="3375"/>
    <n v="0"/>
    <n v="0"/>
    <n v="0"/>
    <n v="0"/>
    <n v="870"/>
    <n v="0"/>
    <n v="0"/>
    <n v="0"/>
    <n v="0"/>
    <n v="0"/>
    <n v="0"/>
    <n v="0"/>
    <n v="3375"/>
    <n v="0"/>
    <n v="0"/>
    <n v="0"/>
    <n v="870"/>
    <n v="0"/>
    <n v="0"/>
    <n v="0"/>
    <n v="0"/>
    <n v="0"/>
    <n v="0"/>
    <n v="0"/>
    <n v="3375"/>
    <n v="0"/>
    <n v="0"/>
    <n v="0"/>
    <n v="0"/>
    <n v="0"/>
    <n v="0"/>
    <n v="0"/>
    <n v="0"/>
    <n v="0"/>
    <n v="0"/>
    <n v="0"/>
    <n v="3375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15."/>
    <s v="5.ACTIVIDAD"/>
    <s v="5004439. TRATAMIENTO DE CASOS DE PERSONAS PRIVADAS DE SU LIBERTAD"/>
    <s v="20. SALUD"/>
    <s v="044. SALUD INDIVIDUAL"/>
    <s v="0096. ATENCION MEDICA BASICA"/>
    <s v="00001"/>
    <s v="0043966. TRATAMIENTO DE CASOS DE PERSONAS PRIVADAS DE SU LIBERTAD"/>
    <s v="00394 - TECNICO"/>
    <n v="12"/>
    <n v="6"/>
    <n v="4"/>
    <n v="4"/>
    <x v="72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2000"/>
    <n v="0"/>
    <n v="2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16."/>
    <s v="5.ACTIVIDAD"/>
    <s v="5004440. DESPISTAJE Y DIAGNOSTICO DE TUBERCULOSIS PARA PACIENTES CON COMORBILIDAD"/>
    <s v="20. SALUD"/>
    <s v="044. SALUD INDIVIDUAL"/>
    <s v="0097. ATENCION MEDICA ESPECIALIZADA"/>
    <s v="00001"/>
    <s v="0043973. DESPISTAJE Y DIAGNOSTICO DE TUBERCULOSIS PARA PACIENTES CON COMORBILIDAD"/>
    <s v="00087 - PERSONA ATENDIDA"/>
    <n v="559"/>
    <n v="279"/>
    <n v="103"/>
    <n v="103"/>
    <x v="73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5500"/>
    <n v="0"/>
    <n v="5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72."/>
    <s v="5.ACTIVIDAD"/>
    <s v="5006272. BRINDAR TRATAMIENTO OPORTUNO PARA TUBERCULOSIS"/>
    <s v="20. SALUD"/>
    <s v="044. SALUD INDIVIDUAL"/>
    <s v="0096. ATENCION MEDICA BASICA"/>
    <s v="00001"/>
    <s v="0289983. BRINDAR TRATAMIENTO OPORTUNO PARA TUBERCULOSIS"/>
    <s v="00394 - TECNICO"/>
    <n v="15"/>
    <n v="8"/>
    <n v="4"/>
    <n v="4"/>
    <x v="96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0"/>
    <n v="3500"/>
    <n v="3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72."/>
    <s v="5.ACTIVIDAD"/>
    <s v="5006273. MANEJO DE LAS COMPLICACIONES DE TUBERCULOSIS"/>
    <s v="20. SALUD"/>
    <s v="044. SALUD INDIVIDUAL"/>
    <s v="0097. ATENCION MEDICA ESPECIALIZADA"/>
    <s v="00001"/>
    <s v="0289984. MANEJO DE LAS COMPLICACIONES DE TUBERCULOSIS"/>
    <s v="00087 - PERSONA ATENDIDA"/>
    <n v="65"/>
    <n v="33"/>
    <n v="19"/>
    <n v="19"/>
    <x v="102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7500"/>
    <n v="0"/>
    <n v="7500"/>
    <n v="1450"/>
    <n v="1450"/>
    <n v="0"/>
    <n v="0"/>
    <n v="0"/>
    <n v="0"/>
    <n v="1450"/>
    <n v="0"/>
    <n v="0"/>
    <n v="0"/>
    <n v="0"/>
    <n v="0"/>
    <n v="0"/>
    <n v="0"/>
    <n v="0"/>
    <n v="0"/>
    <n v="0"/>
    <n v="0"/>
    <n v="0"/>
    <n v="0"/>
    <n v="1450"/>
    <n v="0"/>
    <n v="0"/>
    <n v="0"/>
    <n v="0"/>
    <n v="0"/>
    <n v="0"/>
    <n v="0"/>
    <n v="0"/>
    <n v="0"/>
    <n v="0"/>
    <n v="0"/>
    <n v="1450"/>
    <n v="0"/>
    <n v="0"/>
    <n v="0"/>
    <n v="0"/>
    <n v="0"/>
    <n v="0"/>
    <n v="0"/>
    <n v="0"/>
    <n v="0"/>
    <n v="0"/>
    <n v="0"/>
    <n v="145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91."/>
    <s v="5.ACTIVIDAD"/>
    <s v="5005157. MEDIDAS DE CONTROL DE INFECCIONES Y BIOSEGURIDAD EN LOS SERVICIOS DE ATENCION DE TUBERCULOSIS"/>
    <s v="20. SALUD"/>
    <s v="043. SALUD COLECTIVA"/>
    <s v="0095. CONTROL DE RIESGOS Y DAÑOS PARA LA SALUD"/>
    <s v="00001"/>
    <s v="0136026. MEDIDAS DE CONTROL DE INFECCIONES Y BIOSEGURIDAD EN LOS SERVICIOS DE ATENCION DE TUBERCULOSIS"/>
    <s v="00395 - TIRA"/>
    <n v="350"/>
    <n v="175"/>
    <n v="246"/>
    <n v="246"/>
    <x v="103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6500"/>
    <n v="0"/>
    <n v="6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880."/>
    <s v="5.ACTIVIDAD"/>
    <s v="5005158. BRINDAR ATENCION INTEGRAL A PERSONAS CON DIAGNOSTICO DE HEPATITIS B"/>
    <s v="20. SALUD"/>
    <s v="044. SALUD INDIVIDUAL"/>
    <s v="0097. ATENCION MEDICA ESPECIALIZADA"/>
    <s v="00001"/>
    <s v="0136037. BRINDAR A PERSONAS CON DIAGNOSTICO DE HEPATITIS B CRONICA ATENCION INTEGRAL"/>
    <s v="00394 - TECNICO"/>
    <n v="370"/>
    <n v="185"/>
    <n v="938"/>
    <n v="938"/>
    <x v="104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6500"/>
    <n v="0"/>
    <n v="6500"/>
    <n v="4586.24"/>
    <n v="1806.24"/>
    <n v="0"/>
    <n v="0"/>
    <n v="0"/>
    <n v="0"/>
    <n v="39.840000000000003"/>
    <n v="1766.4"/>
    <n v="0"/>
    <n v="0"/>
    <n v="0"/>
    <n v="0"/>
    <n v="0"/>
    <n v="0"/>
    <n v="0"/>
    <n v="0"/>
    <n v="0"/>
    <n v="0"/>
    <n v="39.840000000000003"/>
    <n v="1766.4"/>
    <n v="0"/>
    <n v="0"/>
    <n v="0"/>
    <n v="0"/>
    <n v="0"/>
    <n v="0"/>
    <n v="0"/>
    <n v="0"/>
    <n v="0"/>
    <n v="0"/>
    <n v="39.840000000000003"/>
    <n v="0"/>
    <n v="1766.4"/>
    <n v="0"/>
    <n v="0"/>
    <n v="0"/>
    <n v="0"/>
    <n v="0"/>
    <n v="0"/>
    <n v="0"/>
    <n v="0"/>
    <n v="0"/>
    <n v="39.840000000000003"/>
    <n v="0"/>
    <n v="1766.4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880."/>
    <s v="5.ACTIVIDAD"/>
    <s v="5006274. BRINDAR ATENCION INTEGRAL A PERSONAS CON DIAGNOSTICO DE HEPATITIS C"/>
    <s v="20. SALUD"/>
    <s v="044. SALUD INDIVIDUAL"/>
    <s v="0097. ATENCION MEDICA ESPECIALIZADA"/>
    <s v="00001"/>
    <s v="0289985. BRINDAR ATENCION INTEGRAL A PERSONAS CON DIAGNOSTICO DE HEPATITIS C"/>
    <s v="00394 - TECNICO"/>
    <n v="245"/>
    <n v="123"/>
    <n v="12"/>
    <n v="12"/>
    <x v="99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0"/>
    <n v="3500"/>
    <n v="3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58."/>
    <s v="5.ACTIVIDAD"/>
    <s v="5000068. MEJORAR EN POBLACION INFORMADA EL USO CORRECTO DE CONDON PARA PREVENCION DE INFECCIONES DE TRANSMISION SEXUAL Y VIH/SIDA"/>
    <s v="20. SALUD"/>
    <s v="043. SALUD COLECTIVA"/>
    <s v="0095. CONTROL DE RIESGOS Y DAÑOS PARA LA SALUD"/>
    <s v="00001"/>
    <s v="0136032. MEJORAR EN POBLACION INFORMADA EL USO CORRECTO DE CONDON PARA PREVENCION DE INFECCIONES DE TRANSMISION SEXUAL Y VIH/SIDA"/>
    <s v="00259 - PERSONA INFORMADA"/>
    <n v="5000"/>
    <n v="2500"/>
    <n v="1500"/>
    <n v="1500"/>
    <x v="74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5500"/>
    <n v="0"/>
    <n v="5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59."/>
    <s v="5.ACTIVIDAD"/>
    <s v="5000069. ENTREGAR A ADULTOS Y JOVENES VARONES CONSEJERIA Y TAMIZAJE PARA ITS Y VIH/SIDA"/>
    <s v="20. SALUD"/>
    <s v="043. SALUD COLECTIVA"/>
    <s v="0095. CONTROL DE RIESGOS Y DAÑOS PARA LA SALUD"/>
    <s v="00001"/>
    <s v="0136033. ENTREGAR A ADULTOS Y JOVENES VARONES CONSEJERIA Y TAMIZAJE PARA ITS Y VIH/SIDA"/>
    <s v="00438 - PULGADAS"/>
    <n v="17000"/>
    <n v="8500"/>
    <n v="3513"/>
    <n v="3513"/>
    <x v="82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6500"/>
    <n v="0"/>
    <n v="6500"/>
    <n v="2592"/>
    <n v="2592"/>
    <n v="0"/>
    <n v="0"/>
    <n v="0"/>
    <n v="0"/>
    <n v="0"/>
    <n v="2520"/>
    <n v="72"/>
    <n v="0"/>
    <n v="0"/>
    <n v="0"/>
    <n v="0"/>
    <n v="0"/>
    <n v="0"/>
    <n v="0"/>
    <n v="0"/>
    <n v="0"/>
    <n v="0"/>
    <n v="2520"/>
    <n v="72"/>
    <n v="0"/>
    <n v="0"/>
    <n v="0"/>
    <n v="0"/>
    <n v="0"/>
    <n v="0"/>
    <n v="0"/>
    <n v="0"/>
    <n v="0"/>
    <n v="0"/>
    <n v="0"/>
    <n v="2520"/>
    <n v="0"/>
    <n v="0"/>
    <n v="0"/>
    <n v="0"/>
    <n v="0"/>
    <n v="0"/>
    <n v="0"/>
    <n v="0"/>
    <n v="0"/>
    <n v="0"/>
    <n v="0"/>
    <n v="252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60."/>
    <s v="5.ACTIVIDAD"/>
    <s v="5000070. ENTREGAR A POBLACION ADOLESCENTE INFORMACION SOBRE INFECCIONES DE TRANSMISION SEXUAL Y VIH/SIDA"/>
    <s v="20. SALUD"/>
    <s v="043. SALUD COLECTIVA"/>
    <s v="0095. CONTROL DE RIESGOS Y DAÑOS PARA LA SALUD"/>
    <s v="00001"/>
    <s v="0136034. ENTREGAR A POBLACION ADOLESCENTE INFORMACION SOBRE INFECCIONES DE TRANSMISION SEXUAL Y VIH/SIDA"/>
    <s v="00438 - PULGADAS"/>
    <n v="2150"/>
    <n v="1075"/>
    <n v="154"/>
    <n v="154"/>
    <x v="105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4500"/>
    <n v="0"/>
    <n v="4500"/>
    <n v="3333.6"/>
    <n v="3333.6"/>
    <n v="0"/>
    <n v="0"/>
    <n v="0"/>
    <n v="0"/>
    <n v="0"/>
    <n v="1833.6"/>
    <n v="1500"/>
    <n v="0"/>
    <n v="0"/>
    <n v="0"/>
    <n v="0"/>
    <n v="0"/>
    <n v="0"/>
    <n v="0"/>
    <n v="0"/>
    <n v="0"/>
    <n v="0"/>
    <n v="1833.6"/>
    <n v="0"/>
    <n v="0"/>
    <n v="0"/>
    <n v="0"/>
    <n v="0"/>
    <n v="0"/>
    <n v="0"/>
    <n v="0"/>
    <n v="0"/>
    <n v="0"/>
    <n v="0"/>
    <n v="0"/>
    <n v="1833.6"/>
    <n v="0"/>
    <n v="0"/>
    <n v="0"/>
    <n v="0"/>
    <n v="0"/>
    <n v="0"/>
    <n v="0"/>
    <n v="0"/>
    <n v="0"/>
    <n v="0"/>
    <n v="0"/>
    <n v="1833.6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61."/>
    <s v="5.ACTIVIDAD"/>
    <s v="5000071. BRINDAR INFORMACION Y ATENCION PREVENTIVA A POBLACION DE ALTO RIESGO"/>
    <s v="20. SALUD"/>
    <s v="043. SALUD COLECTIVA"/>
    <s v="0095. CONTROL DE RIESGOS Y DAÑOS PARA LA SALUD"/>
    <s v="00001"/>
    <s v="0043961. POBLACION DE ALTO RIESGO RECIBE INFORMACION Y ATENCION PREVENTIVA"/>
    <s v="00438 - PULGADAS"/>
    <n v="400"/>
    <n v="200"/>
    <n v="26"/>
    <n v="26"/>
    <x v="60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5500"/>
    <n v="0"/>
    <n v="5500"/>
    <n v="5016"/>
    <n v="5016"/>
    <n v="0"/>
    <n v="0"/>
    <n v="0"/>
    <n v="0"/>
    <n v="0"/>
    <n v="2266"/>
    <n v="2750"/>
    <n v="0"/>
    <n v="0"/>
    <n v="0"/>
    <n v="0"/>
    <n v="0"/>
    <n v="0"/>
    <n v="0"/>
    <n v="0"/>
    <n v="0"/>
    <n v="0"/>
    <n v="450"/>
    <n v="1816"/>
    <n v="0"/>
    <n v="0"/>
    <n v="0"/>
    <n v="0"/>
    <n v="0"/>
    <n v="0"/>
    <n v="0"/>
    <n v="0"/>
    <n v="0"/>
    <n v="0"/>
    <n v="450"/>
    <n v="0"/>
    <n v="0"/>
    <n v="0"/>
    <n v="0"/>
    <n v="0"/>
    <n v="0"/>
    <n v="0"/>
    <n v="0"/>
    <n v="0"/>
    <n v="0"/>
    <n v="0"/>
    <n v="45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68."/>
    <s v="5.ACTIVIDAD"/>
    <s v="5000078. BRINDAR A POBLACION CON INFECCIONES DE TRANSMISION SEXUAL TRATAMIENTO SEGUN GUIA CLINICAS"/>
    <s v="20. SALUD"/>
    <s v="044. SALUD INDIVIDUAL"/>
    <s v="0096. ATENCION MEDICA BASICA"/>
    <s v="00001"/>
    <s v="0136036. BRINDAR A POBLACION CON INFECCIONES DE TRANSMISION SEXUAL TRATAMIENTO SEGUN GUIA CLINICAS"/>
    <s v="00394 - TECNICO"/>
    <n v="400"/>
    <n v="200"/>
    <n v="39"/>
    <n v="39"/>
    <x v="97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5000"/>
    <n v="0"/>
    <n v="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69."/>
    <s v="5.ACTIVIDAD"/>
    <s v="5000079. BRINDAR ATENCION INTEGRAL A PERSONAS CON DIAGNOSTICO DE VIH QUE ACUDEN A LOS SERVICIOS"/>
    <s v="20. SALUD"/>
    <s v="044. SALUD INDIVIDUAL"/>
    <s v="0096. ATENCION MEDICA BASICA"/>
    <s v="00001"/>
    <s v="0136038. BRINDAR ATENCION INTEGRAL A PERSONAS CON DIAGNOSTICO DE VIH QUE ACUDEN A LOS SERVICIOS"/>
    <s v="00087 - PERSONA ATENDIDA"/>
    <n v="34"/>
    <n v="17"/>
    <n v="30"/>
    <n v="30"/>
    <x v="75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5500"/>
    <n v="0"/>
    <n v="5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70."/>
    <s v="5.ACTIVIDAD"/>
    <s v="5000080. BRINDAR TRATAMIENTO OPORTUNO A MUJERES GESTANTES REACTIVAS Y NIÑOS EXPUESTOS AL VIH"/>
    <s v="20. SALUD"/>
    <s v="044. SALUD INDIVIDUAL"/>
    <s v="0096. ATENCION MEDICA BASICA"/>
    <s v="00001"/>
    <s v="0136039. BRINDAR TRATAMIENTO OPORTUNO A MUJERES GESTANTES REACTIVAS Y NIÑOS EXPUESTOS AL VIH"/>
    <s v="00207 - GESTANTE ATENDIDA"/>
    <n v="13"/>
    <n v="7"/>
    <n v="6"/>
    <n v="6"/>
    <x v="21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6500"/>
    <n v="-4713"/>
    <n v="1787"/>
    <n v="1786.7"/>
    <n v="1786.7"/>
    <n v="0"/>
    <n v="0"/>
    <n v="0"/>
    <n v="0"/>
    <n v="0"/>
    <n v="1050"/>
    <n v="736.7"/>
    <n v="0"/>
    <n v="0"/>
    <n v="0"/>
    <n v="0"/>
    <n v="0"/>
    <n v="0"/>
    <n v="0"/>
    <n v="0"/>
    <n v="0"/>
    <n v="0"/>
    <n v="1050"/>
    <n v="736.7"/>
    <n v="0"/>
    <n v="0"/>
    <n v="0"/>
    <n v="0"/>
    <n v="0"/>
    <n v="0"/>
    <n v="0"/>
    <n v="0"/>
    <n v="0"/>
    <n v="0"/>
    <n v="1050"/>
    <n v="0"/>
    <n v="0"/>
    <n v="0"/>
    <n v="0"/>
    <n v="0"/>
    <n v="0"/>
    <n v="0"/>
    <n v="0"/>
    <n v="0"/>
    <n v="0"/>
    <n v="0"/>
    <n v="105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71."/>
    <s v="5.ACTIVIDAD"/>
    <s v="5000081. BRINDAR TRATAMIENTO OPORTUNO A MUJERES GESTANTES REACTIVAS A SIFILIS Y SUS CONTACTOS Y RECIEN NACIDOS EXPUESTOS"/>
    <s v="20. SALUD"/>
    <s v="044. SALUD INDIVIDUAL"/>
    <s v="0096. ATENCION MEDICA BASICA"/>
    <s v="00001"/>
    <s v="0136040. BRINDAR TRATAMIENTO OPORTUNO A MUJERES GESTANTES REACTIVAS A SIFILIS Y SUS CONTACTOS Y RECIEN NACIDOS EXPUESTOS"/>
    <s v="00207 - GESTANTE ATENDIDA"/>
    <n v="7"/>
    <n v="4"/>
    <n v="4"/>
    <n v="4"/>
    <x v="106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8500"/>
    <n v="0"/>
    <n v="8500"/>
    <n v="6217.84"/>
    <n v="6217.84"/>
    <n v="0"/>
    <n v="0"/>
    <n v="0"/>
    <n v="0"/>
    <n v="0"/>
    <n v="4060"/>
    <n v="2157.84"/>
    <n v="0"/>
    <n v="0"/>
    <n v="0"/>
    <n v="0"/>
    <n v="0"/>
    <n v="0"/>
    <n v="0"/>
    <n v="0"/>
    <n v="0"/>
    <n v="0"/>
    <n v="4060"/>
    <n v="0"/>
    <n v="0"/>
    <n v="0"/>
    <n v="0"/>
    <n v="0"/>
    <n v="0"/>
    <n v="0"/>
    <n v="0"/>
    <n v="0"/>
    <n v="0"/>
    <n v="0"/>
    <n v="0"/>
    <n v="4060"/>
    <n v="0"/>
    <n v="0"/>
    <n v="0"/>
    <n v="0"/>
    <n v="0"/>
    <n v="0"/>
    <n v="0"/>
    <n v="0"/>
    <n v="0"/>
    <n v="0"/>
    <n v="0"/>
    <n v="406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72."/>
    <s v="5.ACTIVIDAD"/>
    <s v="5000082. BRINDAR TRATAMIENTO OPORTUNO A PERSONAS QUE ACCEDEN AL EESS Y RECIBE TRATAMIENTO PARA TUBERCULOSIS EXTREMADAMENTE DROGO RESISTENTE (XDR)"/>
    <s v="20. SALUD"/>
    <s v="044. SALUD INDIVIDUAL"/>
    <s v="0097. ATENCION MEDICA ESPECIALIZADA"/>
    <s v="00001"/>
    <s v="0136041. BRINDAR TRATAMIENTO OPORTUNO A PERSONAS QUE ACCEDEN AL EESS Y RECIBE TRATAMIENTO PARA TUBERCULOSIS EXTREMADAMENTE DROGO RESISTENTE (XDR)"/>
    <s v="00394 - TECNICO"/>
    <n v="12"/>
    <n v="6"/>
    <n v="4"/>
    <n v="4"/>
    <x v="61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5800"/>
    <n v="1845"/>
    <n v="7645"/>
    <n v="7162"/>
    <n v="7162"/>
    <n v="0"/>
    <n v="0"/>
    <n v="0"/>
    <n v="0"/>
    <n v="0"/>
    <n v="0"/>
    <n v="71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74."/>
    <s v="5.ACTIVIDAD"/>
    <s v="5000084. BRINDAR TRATAMIENTO PARA TUBERCULOSIS A PERSONAS CON COMORBILIDAD"/>
    <s v="20. SALUD"/>
    <s v="044. SALUD INDIVIDUAL"/>
    <s v="0097. ATENCION MEDICA ESPECIALIZADA"/>
    <s v="00001"/>
    <s v="0136042. BRINDAR TRATAMIENTO PARA TUBERCULOSIS A PERSONAS CON COMORBILIDAD"/>
    <s v="00394 - TECNICO"/>
    <n v="14"/>
    <n v="7"/>
    <n v="6"/>
    <n v="6"/>
    <x v="83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6500"/>
    <n v="0"/>
    <n v="6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1"/>
    <s v=" ."/>
    <s v="3043983."/>
    <s v="5.ACTIVIDAD"/>
    <s v="5000093. EVALUACION, DIAGNOSTICO Y TRATAMIENTO DE ENFERMEDADES METAXENICAS"/>
    <s v="20. SALUD"/>
    <s v="044. SALUD INDIVIDUAL"/>
    <s v="0096. ATENCION MEDICA BASICA"/>
    <s v="00001"/>
    <s v="0043983. DIAGNOSTICO Y TRATAMIENTO DE ENFERMEDADES METAXENICAS"/>
    <s v="00394 - TECNICO"/>
    <n v="1379"/>
    <n v="689"/>
    <n v="198"/>
    <n v="198"/>
    <x v="46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10000"/>
    <n v="0"/>
    <n v="10000"/>
    <n v="8505"/>
    <n v="8505"/>
    <n v="0"/>
    <n v="0"/>
    <n v="6630"/>
    <n v="0"/>
    <n v="0"/>
    <n v="0"/>
    <n v="1875"/>
    <n v="0"/>
    <n v="0"/>
    <n v="0"/>
    <n v="0"/>
    <n v="0"/>
    <n v="0"/>
    <n v="0"/>
    <n v="0"/>
    <n v="6630"/>
    <n v="0"/>
    <n v="0"/>
    <n v="775"/>
    <n v="0"/>
    <n v="0"/>
    <n v="0"/>
    <n v="0"/>
    <n v="0"/>
    <n v="0"/>
    <n v="0"/>
    <n v="0"/>
    <n v="0"/>
    <n v="6630"/>
    <n v="0"/>
    <n v="0"/>
    <n v="0"/>
    <n v="0"/>
    <n v="0"/>
    <n v="0"/>
    <n v="0"/>
    <n v="0"/>
    <n v="0"/>
    <n v="0"/>
    <n v="0"/>
    <n v="663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1"/>
    <s v=" ."/>
    <s v="3043984."/>
    <s v="5.ACTIVIDAD"/>
    <s v="5000094. EVALUACION, DIAGNOSTICO Y TRATAMIENTO DE CASOS DE ENFERMEDADES ZOONOTICAS"/>
    <s v="20. SALUD"/>
    <s v="044. SALUD INDIVIDUAL"/>
    <s v="0096. ATENCION MEDICA BASICA"/>
    <s v="00001"/>
    <s v="0043984. DIAGNOSTICO Y TRATAMIENTO DE CASOS DE ENFERMEDADES ZOONOTICAS"/>
    <s v="00394 - TECNICO"/>
    <n v="974"/>
    <n v="487"/>
    <n v="76"/>
    <n v="76"/>
    <x v="107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14000"/>
    <n v="0"/>
    <n v="14000"/>
    <n v="13988.1"/>
    <n v="5988.1"/>
    <n v="0"/>
    <n v="0"/>
    <n v="0"/>
    <n v="3816"/>
    <n v="2172.1"/>
    <n v="0"/>
    <n v="0"/>
    <n v="0"/>
    <n v="0"/>
    <n v="0"/>
    <n v="0"/>
    <n v="0"/>
    <n v="0"/>
    <n v="0"/>
    <n v="0"/>
    <n v="3816"/>
    <n v="0"/>
    <n v="2172.1"/>
    <n v="0"/>
    <n v="0"/>
    <n v="0"/>
    <n v="0"/>
    <n v="0"/>
    <n v="0"/>
    <n v="0"/>
    <n v="0"/>
    <n v="0"/>
    <n v="0"/>
    <n v="3816"/>
    <n v="2172.1"/>
    <n v="0"/>
    <n v="0"/>
    <n v="0"/>
    <n v="0"/>
    <n v="0"/>
    <n v="0"/>
    <n v="0"/>
    <n v="0"/>
    <n v="0"/>
    <n v="0"/>
    <n v="3816"/>
    <n v="2172.1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1."/>
    <s v="5.ACTIVIDAD"/>
    <s v="5000109. EVALUACION DE TAMIZAJE Y DIAGNOSTICO DE PACIENTES CON CATARATAS"/>
    <s v="20. SALUD"/>
    <s v="044. SALUD INDIVIDUAL"/>
    <s v="0097. ATENCION MEDICA ESPECIALIZADA"/>
    <s v="00001"/>
    <s v="0135993. EVALUACION DE TAMIZAJE Y DIAGNOSTICO DE PACIENTES CON CATARATAS"/>
    <s v="00438 - PULGADAS"/>
    <n v="1000"/>
    <n v="500"/>
    <n v="157"/>
    <n v="157"/>
    <x v="84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2000"/>
    <n v="500"/>
    <n v="2500"/>
    <n v="2499.6799999999998"/>
    <n v="2499.6799999999998"/>
    <n v="0"/>
    <n v="0"/>
    <n v="0"/>
    <n v="0"/>
    <n v="0"/>
    <n v="0"/>
    <n v="2499.67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2."/>
    <s v="5.ACTIVIDAD"/>
    <s v="5000110. BRINDAR TRATAMIENTO A PACIENTES CON DIAGNOSTICO DE CATARATAS"/>
    <s v="20. SALUD"/>
    <s v="044. SALUD INDIVIDUAL"/>
    <s v="0097. ATENCION MEDICA ESPECIALIZADA"/>
    <s v="00001"/>
    <s v="0135994. BRINDAR TRATAMIENTO A PACIENTES CON DIAGNOSTICO DE CATARATAS"/>
    <s v="00394 - TECNICO"/>
    <n v="648"/>
    <n v="324"/>
    <n v="141"/>
    <n v="141"/>
    <x v="22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2500"/>
    <n v="0"/>
    <n v="2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3."/>
    <s v="5.ACTIVIDAD"/>
    <s v="5000111. EXAMENES DE TAMIZAJE Y DIAGNOSTICO DE PERSONAS CON ERRORES REFRACTIVOS"/>
    <s v="20. SALUD"/>
    <s v="044. SALUD INDIVIDUAL"/>
    <s v="0097. ATENCION MEDICA ESPECIALIZADA"/>
    <s v="00001"/>
    <s v="0135995. EXAMENES DE TAMIZAJE Y DIAGNOSTICO DE PERSONAS CON ERRORES REFRACTIVOS"/>
    <s v="00438 - PULGADAS"/>
    <n v="50"/>
    <n v="25"/>
    <n v="11"/>
    <n v="11"/>
    <x v="85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1745"/>
    <n v="1200"/>
    <n v="2945"/>
    <n v="2944.72"/>
    <n v="2944.72"/>
    <n v="0"/>
    <n v="0"/>
    <n v="0"/>
    <n v="0"/>
    <n v="0"/>
    <n v="0"/>
    <n v="2944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4."/>
    <s v="5.ACTIVIDAD"/>
    <s v="5000112. BRINDAR TRATAMIENTO A PACIENTES CON DIAGNOSTICO DE ERRORES REFRACTIVOS"/>
    <s v="20. SALUD"/>
    <s v="044. SALUD INDIVIDUAL"/>
    <s v="0097. ATENCION MEDICA ESPECIALIZADA"/>
    <s v="00001"/>
    <s v="0135996. BRINDAR TRATAMIENTO A PACIENTES CON DIAGNOSTICO DE ERRORES REFRACTIVOS"/>
    <s v="00394 - TECNICO"/>
    <n v="120"/>
    <n v="60"/>
    <n v="40"/>
    <n v="40"/>
    <x v="86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2000"/>
    <n v="1500"/>
    <n v="3500"/>
    <n v="3499.95"/>
    <n v="3499.95"/>
    <n v="0"/>
    <n v="0"/>
    <n v="0"/>
    <n v="0"/>
    <n v="0"/>
    <n v="0"/>
    <n v="349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6."/>
    <s v="5.ACTIVIDAD"/>
    <s v="5000114. BRINDAR TRATAMIENTO A PERSONAS CON DIAGNOSTICO DE HIPERTENSION ARTERIAL"/>
    <s v="20. SALUD"/>
    <s v="044. SALUD INDIVIDUAL"/>
    <s v="0097. ATENCION MEDICA ESPECIALIZADA"/>
    <s v="00001"/>
    <s v="0135998. BRINDAR TRATAMIENTO A PERSONAS CON DIAGNOSTICO DE HIPERTENSION ARTERIAL"/>
    <s v="00394 - TECNICO"/>
    <n v="771"/>
    <n v="385"/>
    <n v="382"/>
    <n v="382"/>
    <x v="23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17500"/>
    <n v="0"/>
    <n v="17500"/>
    <n v="5980"/>
    <n v="5980"/>
    <n v="0"/>
    <n v="0"/>
    <n v="0"/>
    <n v="0"/>
    <n v="748"/>
    <n v="-748"/>
    <n v="59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7."/>
    <s v="5.ACTIVIDAD"/>
    <s v="5000115. BRINDAR TRATAMIENTO A PERSONAS CON DIAGNOSTICO DE DIABETES MELLITUS"/>
    <s v="20. SALUD"/>
    <s v="044. SALUD INDIVIDUAL"/>
    <s v="0097. ATENCION MEDICA ESPECIALIZADA"/>
    <s v="00001"/>
    <s v="0135999. BRINDAR TRATAMIENTO A PERSONAS CON DIAGNOSTICO DE DIABETES MELLITUS"/>
    <s v="00394 - TECNICO"/>
    <n v="2385"/>
    <n v="1192"/>
    <n v="1378"/>
    <n v="1378"/>
    <x v="108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18500"/>
    <n v="0"/>
    <n v="18500"/>
    <n v="69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680."/>
    <s v="5.ACTIVIDAD"/>
    <s v="5006275. ATENCION ESTOMATOLOGICA PREVENTIVA BASICA"/>
    <s v="20. SALUD"/>
    <s v="044. SALUD INDIVIDUAL"/>
    <s v="0096. ATENCION MEDICA BASICA"/>
    <s v="00001"/>
    <s v="0053294. ATENCION ESTOMATOLOGICA PREVENTIVA BASICA"/>
    <s v="00087 - PERSONA ATENDIDA"/>
    <n v="15339"/>
    <n v="7669"/>
    <n v="904"/>
    <n v="904"/>
    <x v="24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6500"/>
    <n v="0"/>
    <n v="6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681."/>
    <s v="5.ACTIVIDAD"/>
    <s v="5006276. ATENCION ESTOMATOLOGICA RECUPERATIVA BASICA"/>
    <s v="20. SALUD"/>
    <s v="044. SALUD INDIVIDUAL"/>
    <s v="0096. ATENCION MEDICA BASICA"/>
    <s v="00001"/>
    <s v="0053295. ATENCION ESTOMATOLOGICA RECUPERATIVA BASICA"/>
    <s v="00394 - TECNICO"/>
    <n v="10352"/>
    <n v="5176"/>
    <n v="1014"/>
    <n v="1014"/>
    <x v="87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8200"/>
    <n v="0"/>
    <n v="8200"/>
    <n v="150"/>
    <n v="150"/>
    <n v="0"/>
    <n v="0"/>
    <n v="0"/>
    <n v="150"/>
    <n v="0"/>
    <n v="0"/>
    <n v="0"/>
    <n v="0"/>
    <n v="0"/>
    <n v="0"/>
    <n v="0"/>
    <n v="0"/>
    <n v="0"/>
    <n v="0"/>
    <n v="0"/>
    <n v="0"/>
    <n v="0"/>
    <n v="150"/>
    <n v="0"/>
    <n v="0"/>
    <n v="0"/>
    <n v="0"/>
    <n v="0"/>
    <n v="0"/>
    <n v="0"/>
    <n v="0"/>
    <n v="0"/>
    <n v="0"/>
    <n v="0"/>
    <n v="150"/>
    <n v="0"/>
    <n v="0"/>
    <n v="0"/>
    <n v="0"/>
    <n v="0"/>
    <n v="0"/>
    <n v="0"/>
    <n v="0"/>
    <n v="0"/>
    <n v="0"/>
    <n v="0"/>
    <n v="15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682."/>
    <s v="5.ACTIVIDAD"/>
    <s v="5000106. ATENCION ESTOMATOLOGICA ESPECIALIZADA BASICA"/>
    <s v="20. SALUD"/>
    <s v="044. SALUD INDIVIDUAL"/>
    <s v="0096. ATENCION MEDICA BASICA"/>
    <s v="00001"/>
    <s v="0053293. ATENCION ESTOMATOLOGICA ESPECIALIZADA BASICA"/>
    <s v="00394 - TECNICO"/>
    <n v="2372"/>
    <n v="1186"/>
    <n v="257"/>
    <n v="257"/>
    <x v="88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11000"/>
    <n v="0"/>
    <n v="11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811."/>
    <s v="5.ACTIVIDAD"/>
    <s v="5005991. EXAMENES DE TAMIZAJE Y DIAGNOSTICO EN RECIEN NACIDO CON FACTORES DE RIESGO PARA RETINOPATIA DE LA PREMATURIDAD (ROP)"/>
    <s v="20. SALUD"/>
    <s v="044. SALUD INDIVIDUAL"/>
    <s v="0097. ATENCION MEDICA ESPECIALIZADA"/>
    <s v="00001"/>
    <s v="0215301. EXAMENES DE TAMIZAJE Y DIAGNOSTICO EN RECIEN NACIDO CON FACTORES DE RIESGO PARA RETINOPATIA DE LA PREMATURIDAD (ROP)"/>
    <s v="00438 - PULGADAS"/>
    <n v="62"/>
    <n v="31"/>
    <n v="23"/>
    <n v="23"/>
    <x v="89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1750"/>
    <n v="2138"/>
    <n v="38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812."/>
    <s v="5.ACTIVIDAD"/>
    <s v="5005992. BRINDAR TRATAMIENTO A NIÑOS PREMATUROS CON DIAGNOSTICO DE RETINOPATIA DE LA PREMATURIDAD (ROP)"/>
    <s v="20. SALUD"/>
    <s v="044. SALUD INDIVIDUAL"/>
    <s v="0097. ATENCION MEDICA ESPECIALIZADA"/>
    <s v="00001"/>
    <s v="0215302. BRINDAR TRATAMIENTO A NIÑOS PREMATUROS CON DIAGNOSTICO DE RETINOPATIA DE LA PREMATURIDAD (ROP)"/>
    <s v="00394 - TECNICO"/>
    <n v="24"/>
    <n v="12"/>
    <n v="12"/>
    <n v="12"/>
    <x v="77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1500"/>
    <n v="1500"/>
    <n v="3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813."/>
    <s v="5.ACTIVIDAD"/>
    <s v="5005993. EVALUACION DE TAMIZAJE Y DIAGNOSTICO DE PERSONAS CON GLAUCOMA"/>
    <s v="20. SALUD"/>
    <s v="044. SALUD INDIVIDUAL"/>
    <s v="0097. ATENCION MEDICA ESPECIALIZADA"/>
    <s v="00001"/>
    <s v="0215066. EVALUACION DE TAMIZAJE Y DIAGNOSTICO DE PERSONAS CON GLAUCOMA"/>
    <s v="00438 - PULGADAS"/>
    <n v="65"/>
    <n v="32"/>
    <n v="22"/>
    <n v="22"/>
    <x v="109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2000"/>
    <n v="0"/>
    <n v="2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814."/>
    <s v="5.ACTIVIDAD"/>
    <s v="5005994. BRINDAR TRATAMIENTO A PERSONAS CON DIAGNOSTICO DE GLAUCOMA"/>
    <s v="20. SALUD"/>
    <s v="044. SALUD INDIVIDUAL"/>
    <s v="0097. ATENCION MEDICA ESPECIALIZADA"/>
    <s v="00001"/>
    <s v="0215067. BRINDAR TRATAMIENTO A PERSONAS CON DIAGNOSTICO DE GLAUCOMA"/>
    <s v="00394 - TECNICO"/>
    <n v="130"/>
    <n v="65"/>
    <n v="36"/>
    <n v="36"/>
    <x v="110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4500"/>
    <n v="0"/>
    <n v="4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865."/>
    <s v="5.ACTIVIDAD"/>
    <s v="5006230. EVALUACION PARA DETECCION Y DIAGNOSTICO DE PERSONAS CON DIABETES MELLITUS CON RIESGO DE RETINOPATIA DIABETICA"/>
    <s v="20. SALUD"/>
    <s v="044. SALUD INDIVIDUAL"/>
    <s v="0097. ATENCION MEDICA ESPECIALIZADA"/>
    <s v="00001"/>
    <s v="0258388. EVALUACION PARA DETECCION Y DIAGNOSTICO DE PERSONAS CON DIABETES MELLITUS CON RIESGO DE RETINOPATIA DIABETICA"/>
    <s v="00438 - PULGADAS"/>
    <n v="90"/>
    <n v="45"/>
    <n v="41"/>
    <n v="41"/>
    <x v="111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2500"/>
    <n v="0"/>
    <n v="2500"/>
    <n v="2499.6799999999998"/>
    <n v="2499.6799999999998"/>
    <n v="0"/>
    <n v="0"/>
    <n v="0"/>
    <n v="0"/>
    <n v="0"/>
    <n v="0"/>
    <n v="2499.67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866."/>
    <s v="5.ACTIVIDAD"/>
    <s v="5006232. EVALUACION PARA DETECCION Y DIAGNOSTICO DE PERSONAS CON ENFERMEDADES EXTERNAS DEL OJO"/>
    <s v="20. SALUD"/>
    <s v="044. SALUD INDIVIDUAL"/>
    <s v="0097. ATENCION MEDICA ESPECIALIZADA"/>
    <s v="00001"/>
    <s v="0258390. EVALUACION PARA DETECCION Y DIAGNOSTICO DE PERSONAS CON ENFERMEDADES EXTERNAS DEL OJO"/>
    <s v="00438 - PULGADAS"/>
    <n v="60"/>
    <n v="30"/>
    <n v="30"/>
    <n v="30"/>
    <x v="112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2800"/>
    <n v="0"/>
    <n v="2800"/>
    <n v="2799.55"/>
    <n v="2799.55"/>
    <n v="0"/>
    <n v="0"/>
    <n v="0"/>
    <n v="0"/>
    <n v="0"/>
    <n v="0"/>
    <n v="279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65."/>
    <s v="5.ACTIVIDAD"/>
    <s v="5006012. DIAGNOSTICO DEL CANCER DE CUELLO UTERINO"/>
    <s v="20. SALUD"/>
    <s v="044. SALUD INDIVIDUAL"/>
    <s v="0097. ATENCION MEDICA ESPECIALIZADA"/>
    <s v="00001"/>
    <s v="0215085. DIAGNOSTICO DEL CANCER DE CUELLO UTERINO"/>
    <s v="00393 - TASA"/>
    <n v="128"/>
    <n v="64"/>
    <n v="17"/>
    <n v="17"/>
    <x v="25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1000"/>
    <n v="0"/>
    <n v="1000"/>
    <n v="366.75"/>
    <n v="366.75"/>
    <n v="0"/>
    <n v="0"/>
    <n v="0"/>
    <n v="0"/>
    <n v="366.75"/>
    <n v="0"/>
    <n v="0"/>
    <n v="0"/>
    <n v="0"/>
    <n v="0"/>
    <n v="0"/>
    <n v="0"/>
    <n v="0"/>
    <n v="0"/>
    <n v="0"/>
    <n v="0"/>
    <n v="0"/>
    <n v="366.75"/>
    <n v="0"/>
    <n v="0"/>
    <n v="0"/>
    <n v="0"/>
    <n v="0"/>
    <n v="0"/>
    <n v="0"/>
    <n v="0"/>
    <n v="0"/>
    <n v="0"/>
    <n v="0"/>
    <n v="0"/>
    <n v="366.75"/>
    <n v="0"/>
    <n v="0"/>
    <n v="0"/>
    <n v="0"/>
    <n v="0"/>
    <n v="0"/>
    <n v="0"/>
    <n v="0"/>
    <n v="0"/>
    <n v="0"/>
    <n v="0"/>
    <n v="366.75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65."/>
    <s v="5.ACTIVIDAD"/>
    <s v="5006013. TRATAMIENTO DEL CANCER DE CUELLO UTERINO"/>
    <s v="20. SALUD"/>
    <s v="044. SALUD INDIVIDUAL"/>
    <s v="0097. ATENCION MEDICA ESPECIALIZADA"/>
    <s v="00001"/>
    <s v="0215086. TRATAMIENTO DEL CANCER DE CUELLO UTERINO"/>
    <s v="00394 - TECNICO"/>
    <n v="68"/>
    <n v="34"/>
    <n v="16"/>
    <n v="16"/>
    <x v="113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1000"/>
    <n v="0"/>
    <n v="1000"/>
    <n v="290"/>
    <n v="290"/>
    <n v="0"/>
    <n v="0"/>
    <n v="0"/>
    <n v="0"/>
    <n v="290"/>
    <n v="0"/>
    <n v="0"/>
    <n v="0"/>
    <n v="0"/>
    <n v="0"/>
    <n v="0"/>
    <n v="0"/>
    <n v="0"/>
    <n v="0"/>
    <n v="0"/>
    <n v="0"/>
    <n v="0"/>
    <n v="0"/>
    <n v="290"/>
    <n v="0"/>
    <n v="0"/>
    <n v="0"/>
    <n v="0"/>
    <n v="0"/>
    <n v="0"/>
    <n v="0"/>
    <n v="0"/>
    <n v="0"/>
    <n v="0"/>
    <n v="0"/>
    <n v="290"/>
    <n v="0"/>
    <n v="0"/>
    <n v="0"/>
    <n v="0"/>
    <n v="0"/>
    <n v="0"/>
    <n v="0"/>
    <n v="0"/>
    <n v="0"/>
    <n v="0"/>
    <n v="0"/>
    <n v="29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66."/>
    <s v="5.ACTIVIDAD"/>
    <s v="5006014. DIAGNOSTICO DEL CANCER DE MAMA"/>
    <s v="20. SALUD"/>
    <s v="044. SALUD INDIVIDUAL"/>
    <s v="0097. ATENCION MEDICA ESPECIALIZADA"/>
    <s v="00001"/>
    <s v="0215087. DIAGNOSTICO DEL CANCER DE MAMA"/>
    <s v="00393 - TASA"/>
    <n v="48"/>
    <n v="14"/>
    <n v="12"/>
    <n v="12"/>
    <x v="114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989"/>
    <n v="0"/>
    <n v="989"/>
    <n v="939"/>
    <n v="939"/>
    <n v="0"/>
    <n v="0"/>
    <n v="0"/>
    <n v="0"/>
    <n v="489"/>
    <n v="450"/>
    <n v="0"/>
    <n v="0"/>
    <n v="0"/>
    <n v="0"/>
    <n v="0"/>
    <n v="0"/>
    <n v="0"/>
    <n v="0"/>
    <n v="0"/>
    <n v="0"/>
    <n v="0"/>
    <n v="489"/>
    <n v="450"/>
    <n v="0"/>
    <n v="0"/>
    <n v="0"/>
    <n v="0"/>
    <n v="0"/>
    <n v="0"/>
    <n v="0"/>
    <n v="0"/>
    <n v="0"/>
    <n v="0"/>
    <n v="0"/>
    <n v="939"/>
    <n v="0"/>
    <n v="0"/>
    <n v="0"/>
    <n v="0"/>
    <n v="0"/>
    <n v="0"/>
    <n v="0"/>
    <n v="0"/>
    <n v="0"/>
    <n v="0"/>
    <n v="0"/>
    <n v="939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66."/>
    <s v="5.ACTIVIDAD"/>
    <s v="5006015. TRATAMIENTO DEL CANCER DE MAMA"/>
    <s v="20. SALUD"/>
    <s v="044. SALUD INDIVIDUAL"/>
    <s v="0097. ATENCION MEDICA ESPECIALIZADA"/>
    <s v="00001"/>
    <s v="0215088. TRATAMIENTO DEL CANCER DE MAMA"/>
    <s v="00394 - TECNICO"/>
    <n v="11"/>
    <n v="6"/>
    <n v="11"/>
    <n v="11"/>
    <x v="90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3000"/>
    <n v="0"/>
    <n v="3000"/>
    <n v="2692.5"/>
    <n v="2692.5"/>
    <n v="0"/>
    <n v="0"/>
    <n v="0"/>
    <n v="0"/>
    <n v="1222.5"/>
    <n v="0"/>
    <n v="1470"/>
    <n v="0"/>
    <n v="0"/>
    <n v="0"/>
    <n v="0"/>
    <n v="0"/>
    <n v="0"/>
    <n v="0"/>
    <n v="0"/>
    <n v="0"/>
    <n v="0"/>
    <n v="1222.5"/>
    <n v="0"/>
    <n v="0"/>
    <n v="0"/>
    <n v="0"/>
    <n v="0"/>
    <n v="0"/>
    <n v="0"/>
    <n v="0"/>
    <n v="0"/>
    <n v="0"/>
    <n v="0"/>
    <n v="0"/>
    <n v="1222.5"/>
    <n v="0"/>
    <n v="0"/>
    <n v="0"/>
    <n v="0"/>
    <n v="0"/>
    <n v="0"/>
    <n v="0"/>
    <n v="0"/>
    <n v="0"/>
    <n v="0"/>
    <n v="0"/>
    <n v="1222.5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67."/>
    <s v="5.ACTIVIDAD"/>
    <s v="5006016. DIAGNOSTICO DEL CANCER DE ESTOMAGO"/>
    <s v="20. SALUD"/>
    <s v="044. SALUD INDIVIDUAL"/>
    <s v="0097. ATENCION MEDICA ESPECIALIZADA"/>
    <s v="00001"/>
    <s v="0215089. DIAGNOSTICO DEL CANCER DE ESTOMAGO"/>
    <s v="00393 - TASA"/>
    <n v="93"/>
    <n v="46"/>
    <n v="16"/>
    <n v="16"/>
    <x v="115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6000"/>
    <n v="0"/>
    <n v="6000"/>
    <n v="4360"/>
    <n v="4360"/>
    <n v="0"/>
    <n v="0"/>
    <n v="0"/>
    <n v="0"/>
    <n v="0"/>
    <n v="2400"/>
    <n v="1960"/>
    <n v="0"/>
    <n v="0"/>
    <n v="0"/>
    <n v="0"/>
    <n v="0"/>
    <n v="0"/>
    <n v="0"/>
    <n v="0"/>
    <n v="0"/>
    <n v="0"/>
    <n v="0"/>
    <n v="2400"/>
    <n v="0"/>
    <n v="0"/>
    <n v="0"/>
    <n v="0"/>
    <n v="0"/>
    <n v="0"/>
    <n v="0"/>
    <n v="0"/>
    <n v="0"/>
    <n v="0"/>
    <n v="0"/>
    <n v="2400"/>
    <n v="0"/>
    <n v="0"/>
    <n v="0"/>
    <n v="0"/>
    <n v="0"/>
    <n v="0"/>
    <n v="0"/>
    <n v="0"/>
    <n v="0"/>
    <n v="0"/>
    <n v="0"/>
    <n v="240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68."/>
    <s v="5.ACTIVIDAD"/>
    <s v="5006018. DIAGNOSTICO DEL CANCER DE PROSTATA"/>
    <s v="20. SALUD"/>
    <s v="044. SALUD INDIVIDUAL"/>
    <s v="0097. ATENCION MEDICA ESPECIALIZADA"/>
    <s v="00001"/>
    <s v="0215091. DIAGNOSTICO DEL CANCER DE PROSTATA"/>
    <s v="00393 - TASA"/>
    <n v="50"/>
    <n v="25"/>
    <n v="6"/>
    <n v="6"/>
    <x v="116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2000"/>
    <n v="0"/>
    <n v="2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69."/>
    <s v="5.ACTIVIDAD"/>
    <s v="5006020. DIAGNOSTICO DEL CANCER DE PULMON"/>
    <s v="20. SALUD"/>
    <s v="044. SALUD INDIVIDUAL"/>
    <s v="0097. ATENCION MEDICA ESPECIALIZADA"/>
    <s v="00001"/>
    <s v="0215093. DIAGNOSTICO DEL CANCER DE PULMON"/>
    <s v="00393 - TASA"/>
    <n v="3"/>
    <n v="2"/>
    <n v="3"/>
    <n v="3"/>
    <x v="100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1500"/>
    <n v="1500"/>
    <n v="3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70."/>
    <s v="5.ACTIVIDAD"/>
    <s v="5006022. DIAGNOSTICO DEL CANCER DE COLON Y RECTO"/>
    <s v="20. SALUD"/>
    <s v="044. SALUD INDIVIDUAL"/>
    <s v="0097. ATENCION MEDICA ESPECIALIZADA"/>
    <s v="00001"/>
    <s v="0215095. DIAGNOSTICO DEL CANCER DE COLON Y RECTO"/>
    <s v="00393 - TASA"/>
    <n v="46"/>
    <n v="23"/>
    <n v="5"/>
    <n v="5"/>
    <x v="117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3000"/>
    <n v="0"/>
    <n v="3000"/>
    <n v="2729.89"/>
    <n v="2729.89"/>
    <n v="0"/>
    <n v="0"/>
    <n v="0"/>
    <n v="0"/>
    <n v="63.68"/>
    <n v="2418.2600000000002"/>
    <n v="247.95"/>
    <n v="0"/>
    <n v="0"/>
    <n v="0"/>
    <n v="0"/>
    <n v="0"/>
    <n v="0"/>
    <n v="0"/>
    <n v="0"/>
    <n v="0"/>
    <n v="63.68"/>
    <n v="0"/>
    <n v="0"/>
    <n v="0"/>
    <n v="0"/>
    <n v="0"/>
    <n v="0"/>
    <n v="0"/>
    <n v="0"/>
    <n v="0"/>
    <n v="0"/>
    <n v="0"/>
    <n v="63.68"/>
    <n v="0"/>
    <n v="0"/>
    <n v="0"/>
    <n v="0"/>
    <n v="0"/>
    <n v="0"/>
    <n v="0"/>
    <n v="0"/>
    <n v="0"/>
    <n v="0"/>
    <n v="0"/>
    <n v="63.68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71."/>
    <s v="5.ACTIVIDAD"/>
    <s v="5006024. DIAGNOSTICO DEL CANCER DE HIGADO"/>
    <s v="20. SALUD"/>
    <s v="044. SALUD INDIVIDUAL"/>
    <s v="0097. ATENCION MEDICA ESPECIALIZADA"/>
    <s v="00001"/>
    <s v="0215097. DIAGNOSTICO DEL CANCER DE HIGADO"/>
    <s v="00393 - TASA"/>
    <n v="34"/>
    <n v="17"/>
    <n v="12"/>
    <n v="12"/>
    <x v="118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4000"/>
    <n v="0"/>
    <n v="4000"/>
    <n v="287.10000000000002"/>
    <n v="287.10000000000002"/>
    <n v="0"/>
    <n v="0"/>
    <n v="0"/>
    <n v="0"/>
    <n v="0"/>
    <n v="0"/>
    <n v="287.1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72."/>
    <s v="5.ACTIVIDAD"/>
    <s v="5006026. DIAGNOSTICO DE LEUCEMIA"/>
    <s v="20. SALUD"/>
    <s v="044. SALUD INDIVIDUAL"/>
    <s v="0097. ATENCION MEDICA ESPECIALIZADA"/>
    <s v="00001"/>
    <s v="0215099. DIAGNOSTICO DE LEUCEMIA"/>
    <s v="00393 - TASA"/>
    <n v="31"/>
    <n v="15"/>
    <n v="2"/>
    <n v="2"/>
    <x v="94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5000"/>
    <n v="-820"/>
    <n v="4180"/>
    <n v="557"/>
    <n v="557"/>
    <n v="0"/>
    <n v="0"/>
    <n v="0"/>
    <n v="0"/>
    <n v="557"/>
    <n v="0"/>
    <n v="0"/>
    <n v="0"/>
    <n v="0"/>
    <n v="0"/>
    <n v="0"/>
    <n v="0"/>
    <n v="0"/>
    <n v="0"/>
    <n v="0"/>
    <n v="0"/>
    <n v="0"/>
    <n v="557"/>
    <n v="0"/>
    <n v="0"/>
    <n v="0"/>
    <n v="0"/>
    <n v="0"/>
    <n v="0"/>
    <n v="0"/>
    <n v="0"/>
    <n v="0"/>
    <n v="0"/>
    <n v="0"/>
    <n v="557"/>
    <n v="0"/>
    <n v="0"/>
    <n v="0"/>
    <n v="0"/>
    <n v="0"/>
    <n v="0"/>
    <n v="0"/>
    <n v="0"/>
    <n v="0"/>
    <n v="0"/>
    <n v="0"/>
    <n v="557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72."/>
    <s v="5.ACTIVIDAD"/>
    <s v="5006027. TRATAMIENTO DE LEUCEMIA"/>
    <s v="20. SALUD"/>
    <s v="044. SALUD INDIVIDUAL"/>
    <s v="0097. ATENCION MEDICA ESPECIALIZADA"/>
    <s v="00001"/>
    <s v="0215100. TRATAMIENTO DE LEUCEMIA"/>
    <s v="00394 - TECNICO"/>
    <n v="14"/>
    <n v="7"/>
    <n v="1"/>
    <n v="1"/>
    <x v="119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2000"/>
    <n v="0"/>
    <n v="2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73."/>
    <s v="5.ACTIVIDAD"/>
    <s v="5006028. DIAGNOSTICO DE LINFOMA"/>
    <s v="20. SALUD"/>
    <s v="044. SALUD INDIVIDUAL"/>
    <s v="0097. ATENCION MEDICA ESPECIALIZADA"/>
    <s v="00001"/>
    <s v="0215101. DIAGNOSTICO DE LINFOMA"/>
    <s v="00393 - TASA"/>
    <n v="19"/>
    <n v="9"/>
    <n v="1"/>
    <n v="1"/>
    <x v="120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3000"/>
    <n v="0"/>
    <n v="3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74."/>
    <s v="5.ACTIVIDAD"/>
    <s v="5006030. DIAGNOSTICO DEL CANCER DE PIEL NO MELANOMA"/>
    <s v="20. SALUD"/>
    <s v="044. SALUD INDIVIDUAL"/>
    <s v="0097. ATENCION MEDICA ESPECIALIZADA"/>
    <s v="00001"/>
    <s v="0215103. DIAGNOSTICO DEL CANCER DE PIEL NO MELANOMA"/>
    <s v="00393 - TASA"/>
    <n v="41"/>
    <n v="20"/>
    <n v="5"/>
    <n v="5"/>
    <x v="121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3000"/>
    <n v="0"/>
    <n v="3000"/>
    <n v="2685"/>
    <n v="2685"/>
    <n v="0"/>
    <n v="0"/>
    <n v="0"/>
    <n v="0"/>
    <n v="0"/>
    <n v="2685"/>
    <n v="0"/>
    <n v="0"/>
    <n v="0"/>
    <n v="0"/>
    <n v="0"/>
    <n v="0"/>
    <n v="0"/>
    <n v="0"/>
    <n v="0"/>
    <n v="0"/>
    <n v="0"/>
    <n v="0"/>
    <n v="2685"/>
    <n v="0"/>
    <n v="0"/>
    <n v="0"/>
    <n v="0"/>
    <n v="0"/>
    <n v="0"/>
    <n v="0"/>
    <n v="0"/>
    <n v="0"/>
    <n v="0"/>
    <n v="0"/>
    <n v="2685"/>
    <n v="0"/>
    <n v="0"/>
    <n v="0"/>
    <n v="0"/>
    <n v="0"/>
    <n v="0"/>
    <n v="0"/>
    <n v="0"/>
    <n v="0"/>
    <n v="0"/>
    <n v="0"/>
    <n v="2685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815."/>
    <s v="5.ACTIVIDAD"/>
    <s v="5006001. CONSEJERIA PARA PACIENTES DIAGNOSTICADOS CON CANCER"/>
    <s v="20. SALUD"/>
    <s v="044. SALUD INDIVIDUAL"/>
    <s v="0096. ATENCION MEDICA BASICA"/>
    <s v="00001"/>
    <s v="0215074. CONSEJERIA PARA PACIENTES DIAGNOSTICADOS CON CANCER"/>
    <s v="00259 - PERSONA INFORMADA"/>
    <n v="380"/>
    <n v="190"/>
    <n v="70"/>
    <n v="70"/>
    <x v="91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3000"/>
    <n v="-3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816."/>
    <s v="5.ACTIVIDAD"/>
    <s v="5006006. TAMIZAJE EN MUJER CON MAMOGRAFIA BILATERAL PARA DETECCION DE CANCER DE MAMA"/>
    <s v="20. SALUD"/>
    <s v="044. SALUD INDIVIDUAL"/>
    <s v="0096. ATENCION MEDICA BASICA"/>
    <s v="00001"/>
    <s v="0215079. TAMIZAJE EN MUJER CON MAMOGRAFIA BILATERAL PARA DETECCION DE CANCER DE MAMA"/>
    <s v="00438 - PULGADAS"/>
    <n v="1350"/>
    <n v="675"/>
    <n v="9"/>
    <n v="9"/>
    <x v="92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3000"/>
    <n v="328"/>
    <n v="3328"/>
    <n v="2685"/>
    <n v="2685"/>
    <n v="0"/>
    <n v="0"/>
    <n v="0"/>
    <n v="0"/>
    <n v="0"/>
    <n v="2685"/>
    <n v="0"/>
    <n v="0"/>
    <n v="0"/>
    <n v="0"/>
    <n v="0"/>
    <n v="0"/>
    <n v="0"/>
    <n v="0"/>
    <n v="0"/>
    <n v="0"/>
    <n v="0"/>
    <n v="0"/>
    <n v="2685"/>
    <n v="0"/>
    <n v="0"/>
    <n v="0"/>
    <n v="0"/>
    <n v="0"/>
    <n v="0"/>
    <n v="0"/>
    <n v="0"/>
    <n v="0"/>
    <n v="0"/>
    <n v="0"/>
    <n v="2685"/>
    <n v="0"/>
    <n v="0"/>
    <n v="0"/>
    <n v="0"/>
    <n v="0"/>
    <n v="0"/>
    <n v="0"/>
    <n v="0"/>
    <n v="0"/>
    <n v="0"/>
    <n v="0"/>
    <n v="2685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818."/>
    <s v="5.ACTIVIDAD"/>
    <s v="5006011. ATENCION DE LA PACIENTE CON LESIONES PREMALIGNAS DE CUELLO UTERINO CON ESCISION"/>
    <s v="20. SALUD"/>
    <s v="044. SALUD INDIVIDUAL"/>
    <s v="0097. ATENCION MEDICA ESPECIALIZADA"/>
    <s v="00001"/>
    <s v="0215084. ATENCION DE LA PACIENTE CON LESIONES PREMALIGNAS DE CUELLO UTERINO CON ESCISION"/>
    <s v="00087 - PERSONA ATENDIDA"/>
    <n v="340"/>
    <n v="170"/>
    <n v="14"/>
    <n v="14"/>
    <x v="122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5000"/>
    <n v="0"/>
    <n v="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734."/>
    <s v="5.ACTIVIDAD"/>
    <s v="5005561. IMPLEMENTACION DE BRIGADAS PARA LA ATENCION FRENTE A EMERGENCIAS Y DESASTRES"/>
    <s v="20. SALUD"/>
    <s v="016. GESTION DE RIESGOS Y EMERGENCIAS"/>
    <s v="0036. ATENCION INMEDIATA DE DESASTRES"/>
    <s v="00001"/>
    <s v="0160777. IMPLEMENTACION DE BRIGADAS PARA LA ATENCION FRENTE A EMERGENCIAS Y DESASTRES"/>
    <s v="00583 - BRIGADA"/>
    <n v="2"/>
    <n v="1"/>
    <n v="0"/>
    <n v="0"/>
    <x v="57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36762"/>
    <n v="0"/>
    <n v="36762"/>
    <n v="12980"/>
    <n v="10200"/>
    <n v="0"/>
    <n v="0"/>
    <n v="0"/>
    <n v="0"/>
    <n v="0"/>
    <n v="300"/>
    <n v="99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734."/>
    <s v="5.ACTIVIDAD"/>
    <s v="5005610. ADMINISTRACION Y ALMACENAMIENTO DE INFRAESTRUCTURA MOVIL PARA LA ASISTENCIA FRENTE A EMERGENCIAS Y DESASTRES"/>
    <s v="20. SALUD"/>
    <s v="016. GESTION DE RIESGOS Y EMERGENCIAS"/>
    <s v="0036. ATENCION INMEDIATA DE DESASTRES"/>
    <s v="00001"/>
    <s v="0160877. ADMINISTRACION Y ALMACENAMIENTO DE INFRAESTRUCTURA MOVIL PARA LA ASISTENCIA FRENTE A EMERGENCIAS Y DESASTRES"/>
    <s v="00614 - INFRAESTRUCTURA MOVIL"/>
    <n v="1"/>
    <n v="1"/>
    <n v="1"/>
    <n v="1"/>
    <x v="95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50000"/>
    <n v="0"/>
    <n v="50000"/>
    <n v="14300"/>
    <n v="14300"/>
    <n v="0"/>
    <n v="0"/>
    <n v="0"/>
    <n v="0"/>
    <n v="0"/>
    <n v="2340"/>
    <n v="11960"/>
    <n v="0"/>
    <n v="0"/>
    <n v="0"/>
    <n v="0"/>
    <n v="0"/>
    <n v="0"/>
    <n v="0"/>
    <n v="0"/>
    <n v="0"/>
    <n v="0"/>
    <n v="0"/>
    <n v="2340"/>
    <n v="0"/>
    <n v="0"/>
    <n v="0"/>
    <n v="0"/>
    <n v="0"/>
    <n v="0"/>
    <n v="0"/>
    <n v="0"/>
    <n v="0"/>
    <n v="0"/>
    <n v="0"/>
    <n v="2340"/>
    <n v="0"/>
    <n v="0"/>
    <n v="0"/>
    <n v="0"/>
    <n v="0"/>
    <n v="0"/>
    <n v="0"/>
    <n v="0"/>
    <n v="0"/>
    <n v="0"/>
    <n v="0"/>
    <n v="234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2824. ATENCION AMBULATORIA DE URGENCIAS (PRIORIDAD III O IV) EN MODULOS HOSPITALARIOS DIFERENCIADOS AUTORIZADOS"/>
    <s v="20. SALUD"/>
    <s v="044. SALUD INDIVIDUAL"/>
    <s v="0096. ATENCION MEDICA BASICA"/>
    <s v="00001"/>
    <s v="0076144. ATENCION AMBULATORIA DE URGENCIAS (PRIORIDAD III O IV) EN MODULOS HOSPITALARIOS DIFERENCIADOS AUTORIZADOS"/>
    <s v="00006 - ATENCION"/>
    <n v="2000"/>
    <n v="1000"/>
    <n v="1994"/>
    <n v="1994"/>
    <x v="27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5000"/>
    <n v="0"/>
    <n v="5000"/>
    <n v="34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1. ATENCION DE TRIAJE"/>
    <s v="20. SALUD"/>
    <s v="044. SALUD INDIVIDUAL"/>
    <s v="0098. SERVICIOS DE DIAGNOSTICO Y TRATAMIENTO"/>
    <s v="00001"/>
    <s v="0188297. ATENCION DE TRIAJE"/>
    <s v="00006 - ATENCION"/>
    <n v="6000"/>
    <n v="3000"/>
    <n v="8247"/>
    <n v="8247"/>
    <x v="123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5000"/>
    <n v="0"/>
    <n v="5000"/>
    <n v="4236.3999999999996"/>
    <n v="4236.3999999999996"/>
    <n v="0"/>
    <n v="0"/>
    <n v="0"/>
    <n v="0"/>
    <n v="0"/>
    <n v="0"/>
    <n v="4236.3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3. ATENCION DE LA EMERGENCIA Y URGENCIA ESPECIALIZADA"/>
    <s v="20. SALUD"/>
    <s v="044. SALUD INDIVIDUAL"/>
    <s v="0097. ATENCION MEDICA ESPECIALIZADA"/>
    <s v="00001"/>
    <s v="0188299. ATENCION DE LA EMERGENCIA Y URGENCIA ESPECIALIZADA"/>
    <s v="00006 - ATENCION"/>
    <n v="25000"/>
    <n v="12500"/>
    <n v="7470"/>
    <n v="7470"/>
    <x v="28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81000"/>
    <n v="0"/>
    <n v="81000"/>
    <n v="77340.259999999995"/>
    <n v="62745.26"/>
    <n v="0"/>
    <n v="900"/>
    <n v="9750"/>
    <n v="5588.26"/>
    <n v="4104"/>
    <n v="0"/>
    <n v="42403"/>
    <n v="0"/>
    <n v="0"/>
    <n v="0"/>
    <n v="0"/>
    <n v="0"/>
    <n v="0"/>
    <n v="0"/>
    <n v="10650"/>
    <n v="5588.26"/>
    <n v="4104"/>
    <n v="0"/>
    <n v="34928"/>
    <n v="0"/>
    <n v="0"/>
    <n v="0"/>
    <n v="0"/>
    <n v="0"/>
    <n v="0"/>
    <n v="0"/>
    <n v="900"/>
    <n v="9750"/>
    <n v="6092.26"/>
    <n v="3600"/>
    <n v="0"/>
    <n v="0"/>
    <n v="0"/>
    <n v="0"/>
    <n v="0"/>
    <n v="0"/>
    <n v="0"/>
    <n v="0"/>
    <n v="900"/>
    <n v="9750"/>
    <n v="6092.26"/>
    <n v="360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4. ATENCION DE LA EMERGENCIA DE CUIDADOS INTENSIVOS"/>
    <s v="20. SALUD"/>
    <s v="044. SALUD INDIVIDUAL"/>
    <s v="0097. ATENCION MEDICA ESPECIALIZADA"/>
    <s v="00001"/>
    <s v="0188300. ATENCION DE LA EMERGENCIA DE CUIDADOS INTENSIVOS"/>
    <s v="00006 - ATENCION"/>
    <n v="400"/>
    <n v="200"/>
    <n v="128"/>
    <n v="128"/>
    <x v="29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40000"/>
    <n v="0"/>
    <n v="40000"/>
    <n v="39978.720000000001"/>
    <n v="5850.76"/>
    <n v="0"/>
    <n v="0"/>
    <n v="0"/>
    <n v="0"/>
    <n v="0"/>
    <n v="5500"/>
    <n v="350.76"/>
    <n v="0"/>
    <n v="0"/>
    <n v="0"/>
    <n v="0"/>
    <n v="0"/>
    <n v="0"/>
    <n v="0"/>
    <n v="0"/>
    <n v="0"/>
    <n v="0"/>
    <n v="0"/>
    <n v="5500"/>
    <n v="0"/>
    <n v="0"/>
    <n v="0"/>
    <n v="0"/>
    <n v="0"/>
    <n v="0"/>
    <n v="0"/>
    <n v="0"/>
    <n v="0"/>
    <n v="0"/>
    <n v="0"/>
    <n v="5500"/>
    <n v="0"/>
    <n v="0"/>
    <n v="0"/>
    <n v="0"/>
    <n v="0"/>
    <n v="0"/>
    <n v="0"/>
    <n v="0"/>
    <n v="0"/>
    <n v="0"/>
    <n v="0"/>
    <n v="550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5. ATENCION DE LA EMERGENCIA QUIRURGICA"/>
    <s v="20. SALUD"/>
    <s v="044. SALUD INDIVIDUAL"/>
    <s v="0097. ATENCION MEDICA ESPECIALIZADA"/>
    <s v="00001"/>
    <s v="0188301. ATENCION DE LA EMERGENCIA QUIRURGICA"/>
    <s v="00006 - ATENCION"/>
    <n v="3000"/>
    <n v="1500"/>
    <n v="1405"/>
    <n v="1405"/>
    <x v="30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40000"/>
    <n v="0"/>
    <n v="40000"/>
    <n v="39980.699999999997"/>
    <n v="28026.7"/>
    <n v="0"/>
    <n v="0"/>
    <n v="2589.1"/>
    <n v="2611.6"/>
    <n v="0"/>
    <n v="0"/>
    <n v="22826"/>
    <n v="0"/>
    <n v="0"/>
    <n v="0"/>
    <n v="0"/>
    <n v="0"/>
    <n v="0"/>
    <n v="0"/>
    <n v="1411.8"/>
    <n v="89.5"/>
    <n v="3699.4"/>
    <n v="0"/>
    <n v="4000"/>
    <n v="0"/>
    <n v="0"/>
    <n v="0"/>
    <n v="0"/>
    <n v="0"/>
    <n v="0"/>
    <n v="0"/>
    <n v="0"/>
    <n v="1501.3"/>
    <n v="3699.4"/>
    <n v="0"/>
    <n v="0"/>
    <n v="0"/>
    <n v="0"/>
    <n v="0"/>
    <n v="0"/>
    <n v="0"/>
    <n v="0"/>
    <n v="0"/>
    <n v="0"/>
    <n v="1501.3"/>
    <n v="3699.4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801."/>
    <s v="5.ACTIVIDAD"/>
    <s v="5006279. SERVICIO DE TRANSPORTE ASISTIDO DE LA EMERGENCIA Y URGENCIA"/>
    <s v="20. SALUD"/>
    <s v="044. SALUD INDIVIDUAL"/>
    <s v="0096. ATENCION MEDICA BASICA"/>
    <s v="00001"/>
    <s v="0289988. SERVICIO DE TRANSPORTE ASISTIDO DE LA EMERGENCIA Y URGENCIA"/>
    <s v="00006 - ATENCION"/>
    <n v="500"/>
    <n v="250"/>
    <n v="57"/>
    <n v="57"/>
    <x v="65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9000"/>
    <n v="-3100"/>
    <n v="5900"/>
    <n v="5205.3"/>
    <n v="5205.3"/>
    <n v="0"/>
    <n v="0"/>
    <n v="0"/>
    <n v="0"/>
    <n v="1349.7"/>
    <n v="0"/>
    <n v="3855.6"/>
    <n v="0"/>
    <n v="0"/>
    <n v="0"/>
    <n v="0"/>
    <n v="0"/>
    <n v="0"/>
    <n v="0"/>
    <n v="0"/>
    <n v="0"/>
    <n v="1349.7"/>
    <n v="0"/>
    <n v="0"/>
    <n v="0"/>
    <n v="0"/>
    <n v="0"/>
    <n v="0"/>
    <n v="0"/>
    <n v="0"/>
    <n v="0"/>
    <n v="0"/>
    <n v="0"/>
    <n v="1349.7"/>
    <n v="0"/>
    <n v="0"/>
    <n v="0"/>
    <n v="0"/>
    <n v="0"/>
    <n v="0"/>
    <n v="0"/>
    <n v="0"/>
    <n v="0"/>
    <n v="0"/>
    <n v="0"/>
    <n v="1349.7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0"/>
    <s v=" ."/>
    <s v="3000688."/>
    <s v="5.ACTIVIDAD"/>
    <s v="5004449. CAPACITACION EN MEDICINA DE REHABILITACION"/>
    <s v="20. SALUD"/>
    <s v="044. SALUD INDIVIDUAL"/>
    <s v="0097. ATENCION MEDICA ESPECIALIZADA"/>
    <s v="00001"/>
    <s v="0136018. CAPACITACION EN MEDICINA DE REHABILITACION"/>
    <s v="00088 - PERSONA CAPACITADA"/>
    <n v="60"/>
    <n v="30"/>
    <n v="0"/>
    <n v="0"/>
    <x v="0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40444"/>
    <n v="-404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698."/>
    <s v="5.ACTIVIDAD"/>
    <s v="5005188. TAMIZAJE DE PERSONAS CON TRASTORNOS MENTALES Y PROBLEMAS PSICOSOCIALES"/>
    <s v="20. SALUD"/>
    <s v="044. SALUD INDIVIDUAL"/>
    <s v="0096. ATENCION MEDICA BASICA"/>
    <s v="00001"/>
    <s v="0136780. TAMIZAJE DE PERSONAS CON TRASTORNOS MENTALES Y PROBLEMAS PSICOSOCIALES"/>
    <s v="00438 - PULGADAS"/>
    <n v="310"/>
    <n v="155"/>
    <n v="273"/>
    <n v="273"/>
    <x v="31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1000"/>
    <n v="-1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699."/>
    <s v="5.ACTIVIDAD"/>
    <s v="5005189. TRATAMIENTO DE PERSONAS CON PROBLEMAS PSICOSOCIALES"/>
    <s v="20. SALUD"/>
    <s v="044. SALUD INDIVIDUAL"/>
    <s v="0096. ATENCION MEDICA BASICA"/>
    <s v="00001"/>
    <s v="0136781. TRATAMIENTO DE PERSONAS CON PROBLEMAS PSICOSOCIALES"/>
    <s v="00394 - TECNICO"/>
    <n v="35"/>
    <n v="17"/>
    <n v="16"/>
    <n v="16"/>
    <x v="124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1000"/>
    <n v="0"/>
    <n v="1000"/>
    <n v="845.6"/>
    <n v="845.6"/>
    <n v="0"/>
    <n v="0"/>
    <n v="0"/>
    <n v="0"/>
    <n v="0"/>
    <n v="0"/>
    <n v="84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700."/>
    <s v="5.ACTIVIDAD"/>
    <s v="5005190. TRATAMIENTO AMBULATORIO DE PERSONAS CON TRANSTORNOS AFECTIVOS (DEPRESION Y CONDUCTA SUICIDA) Y DE ANSIEDAD"/>
    <s v="20. SALUD"/>
    <s v="044. SALUD INDIVIDUAL"/>
    <s v="0097. ATENCION MEDICA ESPECIALIZADA"/>
    <s v="00001"/>
    <s v="0136782. TRATAMIENTO AMBULATORIO DEPERSONAS CON TRASTORNOS AFECTIVOS (DEPRESION Y CONDUCTA SUICIDA) Y DE ANSIEDAD"/>
    <s v="00394 - TECNICO"/>
    <n v="80"/>
    <n v="40"/>
    <n v="16"/>
    <n v="16"/>
    <x v="63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0"/>
    <n v="2053"/>
    <n v="20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700."/>
    <s v="5.ACTIVIDAD"/>
    <s v="5005191. TRATAMIENTO CON INTERNAMIENTO DE PERSONAS CON TRASTORNOS AFECTIVOS Y DE ANSIEDAD"/>
    <s v="20. SALUD"/>
    <s v="044. SALUD INDIVIDUAL"/>
    <s v="0097. ATENCION MEDICA ESPECIALIZADA"/>
    <s v="00001"/>
    <s v="0136783. TRATAMIENTO CON INTERNAMIENTO DE PERSONAS CON TRASTORNOS AFECTIVOS Y DE ANSIEDAD"/>
    <s v="00394 - TECNICO"/>
    <n v="50"/>
    <n v="25"/>
    <n v="20"/>
    <n v="20"/>
    <x v="64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2000"/>
    <n v="56298"/>
    <n v="58298"/>
    <n v="50915.8"/>
    <n v="50915.8"/>
    <n v="0"/>
    <n v="0"/>
    <n v="0"/>
    <n v="43763.3"/>
    <n v="0"/>
    <n v="7152.5"/>
    <n v="0"/>
    <n v="0"/>
    <n v="0"/>
    <n v="0"/>
    <n v="0"/>
    <n v="0"/>
    <n v="0"/>
    <n v="0"/>
    <n v="0"/>
    <n v="0"/>
    <n v="43763.3"/>
    <n v="4812.5"/>
    <n v="2340"/>
    <n v="0"/>
    <n v="0"/>
    <n v="0"/>
    <n v="0"/>
    <n v="0"/>
    <n v="0"/>
    <n v="0"/>
    <n v="0"/>
    <n v="0"/>
    <n v="15963.3"/>
    <n v="27800"/>
    <n v="7152.5"/>
    <n v="0"/>
    <n v="0"/>
    <n v="0"/>
    <n v="0"/>
    <n v="0"/>
    <n v="0"/>
    <n v="0"/>
    <n v="0"/>
    <n v="0"/>
    <n v="15963.3"/>
    <n v="27800"/>
    <n v="7152.5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702."/>
    <s v="5.ACTIVIDAD"/>
    <s v="5005196. TRATAMIENTO CON INTERNAMIENTO DE PERSONAS CON SINDROME O TRASTORNO PSICOTICO"/>
    <s v="20. SALUD"/>
    <s v="044. SALUD INDIVIDUAL"/>
    <s v="0097. ATENCION MEDICA ESPECIALIZADA"/>
    <s v="00001"/>
    <s v="0136788. TRATAMIENTO CON INTERNAMIENTO DE PERSONAS CON SINDROME O TRASTORNO PSICOTICO"/>
    <s v="00394 - TECNICO"/>
    <n v="80"/>
    <n v="40"/>
    <n v="22"/>
    <n v="22"/>
    <x v="125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1000"/>
    <n v="0"/>
    <n v="1000"/>
    <n v="630"/>
    <n v="630"/>
    <n v="0"/>
    <n v="0"/>
    <n v="0"/>
    <n v="630"/>
    <n v="0"/>
    <n v="0"/>
    <n v="0"/>
    <n v="0"/>
    <n v="0"/>
    <n v="0"/>
    <n v="0"/>
    <n v="0"/>
    <n v="0"/>
    <n v="0"/>
    <n v="0"/>
    <n v="0"/>
    <n v="630"/>
    <n v="0"/>
    <n v="0"/>
    <n v="0"/>
    <n v="0"/>
    <n v="0"/>
    <n v="0"/>
    <n v="0"/>
    <n v="0"/>
    <n v="0"/>
    <n v="0"/>
    <n v="0"/>
    <n v="630"/>
    <n v="0"/>
    <n v="0"/>
    <n v="0"/>
    <n v="0"/>
    <n v="0"/>
    <n v="0"/>
    <n v="0"/>
    <n v="0"/>
    <n v="0"/>
    <n v="0"/>
    <n v="0"/>
    <n v="63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702."/>
    <s v="5.ACTIVIDAD"/>
    <s v="5005197. REHABILITACION PSICOSOCIAL DE PERSONAS CON SINDROME O TRASTORNO ESQUIZOFRENICO"/>
    <s v="20. SALUD"/>
    <s v="044. SALUD INDIVIDUAL"/>
    <s v="0097. ATENCION MEDICA ESPECIALIZADA"/>
    <s v="00001"/>
    <s v="0136789. REHABILITACION PSICOSOCIAL DE PERSONAS CON SINDROME O TRASTORNO ESQUIZOFRENICO"/>
    <s v="00087 - PERSONA ATENDIDA"/>
    <n v="2"/>
    <n v="1"/>
    <n v="1"/>
    <n v="1"/>
    <x v="126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4200"/>
    <n v="0"/>
    <n v="4200"/>
    <n v="1600"/>
    <n v="1600"/>
    <n v="0"/>
    <n v="0"/>
    <n v="0"/>
    <n v="1600"/>
    <n v="0"/>
    <n v="0"/>
    <n v="0"/>
    <n v="0"/>
    <n v="0"/>
    <n v="0"/>
    <n v="0"/>
    <n v="0"/>
    <n v="0"/>
    <n v="0"/>
    <n v="0"/>
    <n v="0"/>
    <n v="1600"/>
    <n v="0"/>
    <n v="0"/>
    <n v="0"/>
    <n v="0"/>
    <n v="0"/>
    <n v="0"/>
    <n v="0"/>
    <n v="0"/>
    <n v="0"/>
    <n v="0"/>
    <n v="0"/>
    <n v="1600"/>
    <n v="0"/>
    <n v="0"/>
    <n v="0"/>
    <n v="0"/>
    <n v="0"/>
    <n v="0"/>
    <n v="0"/>
    <n v="0"/>
    <n v="0"/>
    <n v="0"/>
    <n v="0"/>
    <n v="1600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881."/>
    <s v="5.ACTIVIDAD"/>
    <s v="5006282. TRATAMIENTO AMBULATORIO DE PERSONAS CON TRASTORNO DEL COMPORTAMIENTO DEBIDO AL CONSUMO DE ALCOHOL Y TABACO"/>
    <s v="20. SALUD"/>
    <s v="044. SALUD INDIVIDUAL"/>
    <s v="0097. ATENCION MEDICA ESPECIALIZADA"/>
    <s v="00001"/>
    <s v="0289991. TRATAMIENTO AMBULATORIO DE PERSONAS CON TRASTORNO DEL COMPORTAMIENTO DEBIDO AL CONSUMO DE ALCOHOL Y TABACO"/>
    <s v="00394 - TECNICO"/>
    <n v="54"/>
    <n v="27"/>
    <n v="21"/>
    <n v="21"/>
    <x v="127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1000"/>
    <n v="0"/>
    <n v="1000"/>
    <n v="285"/>
    <n v="285"/>
    <n v="0"/>
    <n v="0"/>
    <n v="0"/>
    <n v="285"/>
    <n v="0"/>
    <n v="0"/>
    <n v="0"/>
    <n v="0"/>
    <n v="0"/>
    <n v="0"/>
    <n v="0"/>
    <n v="0"/>
    <n v="0"/>
    <n v="0"/>
    <n v="0"/>
    <n v="0"/>
    <n v="285"/>
    <n v="0"/>
    <n v="0"/>
    <n v="0"/>
    <n v="0"/>
    <n v="0"/>
    <n v="0"/>
    <n v="0"/>
    <n v="0"/>
    <n v="0"/>
    <n v="0"/>
    <n v="0"/>
    <n v="285"/>
    <n v="0"/>
    <n v="0"/>
    <n v="0"/>
    <n v="0"/>
    <n v="0"/>
    <n v="0"/>
    <n v="0"/>
    <n v="0"/>
    <n v="0"/>
    <n v="0"/>
    <n v="0"/>
    <n v="285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10. ATENCION ESPECIALIZADA DE LA SALUD"/>
    <s v="20. SALUD"/>
    <s v="044. SALUD INDIVIDUAL"/>
    <s v="0097. ATENCION MEDICA ESPECIALIZADA"/>
    <s v="00001"/>
    <s v="0023484. ATENCION MEDICA ESPECIALIZADA"/>
    <s v="00006 - ATENCION"/>
    <n v="150000"/>
    <n v="75000"/>
    <n v="26347"/>
    <n v="26347"/>
    <x v="34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48017"/>
    <n v="0"/>
    <n v="48017"/>
    <n v="42988.72"/>
    <n v="42988.72"/>
    <n v="0"/>
    <n v="0"/>
    <n v="18889"/>
    <n v="-18889"/>
    <n v="42988.72"/>
    <n v="-23840.799999999999"/>
    <n v="23840.799999999999"/>
    <n v="0"/>
    <n v="0"/>
    <n v="0"/>
    <n v="0"/>
    <n v="0"/>
    <n v="0"/>
    <n v="0"/>
    <n v="0"/>
    <n v="0"/>
    <n v="19147.919999999998"/>
    <n v="0"/>
    <n v="0"/>
    <n v="0"/>
    <n v="0"/>
    <n v="0"/>
    <n v="0"/>
    <n v="0"/>
    <n v="0"/>
    <n v="0"/>
    <n v="0"/>
    <n v="0"/>
    <n v="0"/>
    <n v="19147.919999999998"/>
    <n v="0"/>
    <n v="0"/>
    <n v="0"/>
    <n v="0"/>
    <n v="0"/>
    <n v="0"/>
    <n v="0"/>
    <n v="0"/>
    <n v="0"/>
    <n v="0"/>
    <n v="0"/>
    <n v="19147.919999999998"/>
    <n v="0"/>
    <n v="0"/>
    <n v="0"/>
    <n v="0"/>
    <n v="0"/>
    <n v="0"/>
    <x v="0"/>
    <x v="36"/>
    <x v="36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2. ATENCION EN CONSULTAS EXTERNAS"/>
    <s v="20. SALUD"/>
    <s v="044. SALUD INDIVIDUAL"/>
    <s v="0097. ATENCION MEDICA ESPECIALIZADA"/>
    <s v="00001"/>
    <s v="0000266. ATENCION EN CONSULTAS EXTERNAS"/>
    <s v="00006 - ATENCION"/>
    <n v="150000"/>
    <n v="75000"/>
    <n v="31583"/>
    <n v="31583"/>
    <x v="35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50000"/>
    <n v="0"/>
    <n v="5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x v="36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48017"/>
    <n v="0"/>
    <n v="48017"/>
    <n v="13141.2"/>
    <n v="13141.2"/>
    <n v="0"/>
    <n v="0"/>
    <n v="0"/>
    <n v="13141.2"/>
    <n v="0"/>
    <n v="0"/>
    <n v="0"/>
    <n v="0"/>
    <n v="0"/>
    <n v="0"/>
    <n v="0"/>
    <n v="0"/>
    <n v="0"/>
    <n v="0"/>
    <n v="0"/>
    <n v="13141.2"/>
    <n v="0"/>
    <n v="0"/>
    <n v="0"/>
    <n v="0"/>
    <n v="0"/>
    <n v="0"/>
    <n v="0"/>
    <n v="0"/>
    <n v="0"/>
    <n v="0"/>
    <n v="0"/>
    <n v="0"/>
    <n v="13141.2"/>
    <n v="0"/>
    <n v="0"/>
    <n v="0"/>
    <n v="0"/>
    <n v="0"/>
    <n v="0"/>
    <n v="0"/>
    <n v="0"/>
    <n v="0"/>
    <n v="0"/>
    <n v="0"/>
    <n v="13141.2"/>
    <n v="0"/>
    <n v="0"/>
    <n v="0"/>
    <n v="0"/>
    <n v="0"/>
    <n v="0"/>
    <n v="0"/>
    <x v="0"/>
    <x v="36"/>
    <x v="36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4. INTERVENCIONES QUIRURGICAS"/>
    <s v="20. SALUD"/>
    <s v="044. SALUD INDIVIDUAL"/>
    <s v="0097. ATENCION MEDICA ESPECIALIZADA"/>
    <s v="00001"/>
    <s v="0000257. ATENCION DE INTERVENCIONES QUIRURGICAS"/>
    <s v="00006 - ATENCION"/>
    <n v="20000"/>
    <n v="10000"/>
    <n v="8000"/>
    <n v="8000"/>
    <x v="37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50000"/>
    <n v="-16314"/>
    <n v="33686"/>
    <n v="31066"/>
    <n v="31066"/>
    <n v="0"/>
    <n v="0"/>
    <n v="31066"/>
    <n v="0"/>
    <n v="0"/>
    <n v="0"/>
    <n v="0"/>
    <n v="0"/>
    <n v="0"/>
    <n v="0"/>
    <n v="0"/>
    <n v="0"/>
    <n v="0"/>
    <n v="0"/>
    <n v="5460"/>
    <n v="25606"/>
    <n v="0"/>
    <n v="0"/>
    <n v="0"/>
    <n v="0"/>
    <n v="0"/>
    <n v="0"/>
    <n v="0"/>
    <n v="0"/>
    <n v="0"/>
    <n v="0"/>
    <n v="0"/>
    <n v="31066"/>
    <n v="0"/>
    <n v="0"/>
    <n v="0"/>
    <n v="0"/>
    <n v="0"/>
    <n v="0"/>
    <n v="0"/>
    <n v="0"/>
    <n v="0"/>
    <n v="0"/>
    <n v="0"/>
    <n v="31066"/>
    <n v="0"/>
    <n v="0"/>
    <n v="0"/>
    <n v="0"/>
    <n v="0"/>
    <n v="0"/>
    <n v="0"/>
    <n v="0"/>
    <x v="0"/>
    <x v="36"/>
    <x v="36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8. ATENCION DE CUIDADOS INTENSIVOS"/>
    <s v="20. SALUD"/>
    <s v="044. SALUD INDIVIDUAL"/>
    <s v="0097. ATENCION MEDICA ESPECIALIZADA"/>
    <s v="00001"/>
    <s v="0000268. ATENCION EN CUIDADOS INTENSIVOS"/>
    <s v="00006 - ATENCION"/>
    <n v="20000"/>
    <n v="10000"/>
    <n v="9800"/>
    <n v="9800"/>
    <x v="50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50000"/>
    <n v="0"/>
    <n v="50000"/>
    <n v="20473.96"/>
    <n v="20473.96"/>
    <n v="0"/>
    <n v="0"/>
    <n v="0"/>
    <n v="10900"/>
    <n v="9573.9599999999991"/>
    <n v="0"/>
    <n v="0"/>
    <n v="0"/>
    <n v="0"/>
    <n v="0"/>
    <n v="0"/>
    <n v="0"/>
    <n v="0"/>
    <n v="0"/>
    <n v="0"/>
    <n v="10900"/>
    <n v="9573.9599999999991"/>
    <n v="0"/>
    <n v="0"/>
    <n v="0"/>
    <n v="0"/>
    <n v="0"/>
    <n v="0"/>
    <n v="0"/>
    <n v="0"/>
    <n v="0"/>
    <n v="0"/>
    <n v="0"/>
    <n v="10900"/>
    <n v="9573.9599999999991"/>
    <n v="0"/>
    <n v="0"/>
    <n v="0"/>
    <n v="0"/>
    <n v="0"/>
    <n v="0"/>
    <n v="0"/>
    <n v="0"/>
    <n v="0"/>
    <n v="0"/>
    <n v="10900"/>
    <n v="9573.9599999999991"/>
    <n v="0"/>
    <n v="0"/>
    <n v="0"/>
    <n v="0"/>
    <n v="0"/>
    <n v="0"/>
    <x v="0"/>
    <x v="36"/>
    <x v="36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0"/>
    <s v=" ."/>
    <s v="3000688."/>
    <s v="5.ACTIVIDAD"/>
    <s v="5005150. ATENCION DE REHABILITACION PARA PERSONAS CON DISCAPACIDAD FISICA"/>
    <s v="20. SALUD"/>
    <s v="044. SALUD INDIVIDUAL"/>
    <s v="0097. ATENCION MEDICA ESPECIALIZADA"/>
    <s v="00001"/>
    <s v="0136019. ATENCION DE REHABILITACION PARA PERSONAS CON DISCAPACIDAD FISICA"/>
    <s v="00087 - PERSONA ATENDIDA"/>
    <n v="12585"/>
    <n v="6293"/>
    <n v="9267"/>
    <n v="9267"/>
    <x v="98"/>
    <s v="05. AYACUCHO"/>
    <s v="01. HUAMANGA"/>
    <s v="01. AYACUCHO"/>
    <x v="0"/>
    <s v="00. RECURSOS ORDINARI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RECURSOS ORDINARIOS"/>
    <n v="0"/>
    <n v="19034"/>
    <n v="19034"/>
    <n v="1349.7"/>
    <n v="1349.7"/>
    <n v="0"/>
    <n v="0"/>
    <n v="0"/>
    <n v="0"/>
    <n v="1349.7"/>
    <n v="0"/>
    <n v="0"/>
    <n v="0"/>
    <n v="0"/>
    <n v="0"/>
    <n v="0"/>
    <n v="0"/>
    <n v="0"/>
    <n v="0"/>
    <n v="0"/>
    <n v="0"/>
    <n v="1349.7"/>
    <n v="0"/>
    <n v="0"/>
    <n v="0"/>
    <n v="0"/>
    <n v="0"/>
    <n v="0"/>
    <n v="0"/>
    <n v="0"/>
    <n v="0"/>
    <n v="0"/>
    <n v="0"/>
    <n v="1349.7"/>
    <n v="0"/>
    <n v="0"/>
    <n v="0"/>
    <n v="0"/>
    <n v="0"/>
    <n v="0"/>
    <n v="0"/>
    <n v="0"/>
    <n v="0"/>
    <n v="0"/>
    <n v="0"/>
    <n v="1349.7"/>
    <n v="0"/>
    <n v="0"/>
    <n v="0"/>
    <n v="0"/>
    <n v="0"/>
    <n v="0"/>
    <n v="0"/>
    <x v="0"/>
    <x v="36"/>
    <x v="3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815."/>
    <s v="5.ACTIVIDAD"/>
    <s v="5006001. CONSEJERIA PARA PACIENTES DIAGNOSTICADOS CON CANCER"/>
    <s v="20. SALUD"/>
    <s v="044. SALUD INDIVIDUAL"/>
    <s v="0096. ATENCION MEDICA BASICA"/>
    <s v="00001"/>
    <s v="0215074. CONSEJERIA PARA PACIENTES DIAGNOSTICADOS CON CANCER"/>
    <s v="00259 - PERSONA INFORMADA"/>
    <n v="380"/>
    <n v="190"/>
    <n v="70"/>
    <n v="70"/>
    <x v="91"/>
    <s v="05. AYACUCHO"/>
    <s v="01. HUAMANGA"/>
    <s v="01. AYACUCHO"/>
    <x v="0"/>
    <s v="00. RECURSOS ORDINARIOS"/>
    <s v="5. GASTOS CORRIENTES"/>
    <s v="2. GASTOS PRESUPUESTARIOS"/>
    <x v="2"/>
    <s v=" 1. COMPRA DE BIENES"/>
    <s v=" 9. MATERIALES Y UTILES DE ENSEÑANZA"/>
    <s v=" 1. MATERIALES Y UTILES DE ENSEÑANZA"/>
    <s v=" 2. MATERIAL DIDACTICO, ACCESORIOS Y UTILES DE ENSEÑANZA"/>
    <s v="0 . RECURSOS ORDINARIOS"/>
    <n v="0"/>
    <n v="1000"/>
    <n v="1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7"/>
    <x v="37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0"/>
    <s v=" ."/>
    <s v="3000688."/>
    <s v="5.ACTIVIDAD"/>
    <s v="5005150. ATENCION DE REHABILITACION PARA PERSONAS CON DISCAPACIDAD FISICA"/>
    <s v="20. SALUD"/>
    <s v="044. SALUD INDIVIDUAL"/>
    <s v="0097. ATENCION MEDICA ESPECIALIZADA"/>
    <s v="00001"/>
    <s v="0136019. ATENCION DE REHABILITACION PARA PERSONAS CON DISCAPACIDAD FISICA"/>
    <s v="00087 - PERSONA ATENDIDA"/>
    <n v="12585"/>
    <n v="6293"/>
    <n v="9267"/>
    <n v="9267"/>
    <x v="98"/>
    <s v="05. AYACUCHO"/>
    <s v="01. HUAMANGA"/>
    <s v="01. AYACUCHO"/>
    <x v="0"/>
    <s v="00. RECURSOS ORDINARIOS"/>
    <s v="5. GASTOS CORRIENTES"/>
    <s v="2. GASTOS PRESUPUESTARIOS"/>
    <x v="2"/>
    <s v=" 1. COMPRA DE BIENES"/>
    <s v=" 9. MATERIALES Y UTILES DE ENSEÑANZA"/>
    <s v=" 1. MATERIALES Y UTILES DE ENSEÑANZA"/>
    <s v=" 2. MATERIAL DIDACTICO, ACCESORIOS Y UTILES DE ENSEÑANZA"/>
    <s v="0 . RECURSOS ORDINARIOS"/>
    <n v="0"/>
    <n v="1500"/>
    <n v="1500"/>
    <n v="1010"/>
    <n v="1010"/>
    <n v="0"/>
    <n v="0"/>
    <n v="0"/>
    <n v="0"/>
    <n v="0"/>
    <n v="0"/>
    <n v="10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7"/>
    <x v="37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0"/>
    <s v=" ."/>
    <s v="3000688."/>
    <s v="5.ACTIVIDAD"/>
    <s v="5005150. ATENCION DE REHABILITACION PARA PERSONAS CON DISCAPACIDAD FISICA"/>
    <s v="20. SALUD"/>
    <s v="044. SALUD INDIVIDUAL"/>
    <s v="0097. ATENCION MEDICA ESPECIALIZADA"/>
    <s v="00001"/>
    <s v="0136019. ATENCION DE REHABILITACION PARA PERSONAS CON DISCAPACIDAD FISICA"/>
    <s v="00087 - PERSONA ATENDIDA"/>
    <n v="12585"/>
    <n v="6293"/>
    <n v="9267"/>
    <n v="9267"/>
    <x v="98"/>
    <s v="05. AYACUCHO"/>
    <s v="01. HUAMANGA"/>
    <s v="01. AYACUCHO"/>
    <x v="0"/>
    <s v="00. RECURSOS ORDINARIOS"/>
    <s v="5. GASTOS CORRIENTES"/>
    <s v="2. GASTOS PRESUPUESTARIOS"/>
    <x v="2"/>
    <s v=" 1. COMPRA DE BIENES"/>
    <s v=" 9. MATERIALES Y UTILES DE ENSEÑANZA"/>
    <s v=" 1. MATERIALES Y UTILES DE ENSEÑANZA"/>
    <s v="99. OTROS MATERIALES DIVERSOS DE ENSEÑANZA"/>
    <s v="0 . RECURSOS ORDINARIOS"/>
    <n v="0"/>
    <n v="13410"/>
    <n v="13410"/>
    <n v="8450"/>
    <n v="8450"/>
    <n v="0"/>
    <n v="0"/>
    <n v="0"/>
    <n v="0"/>
    <n v="0"/>
    <n v="0"/>
    <n v="84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8"/>
    <x v="3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0"/>
    <s v="00. RECURSOS ORDINARIOS"/>
    <s v="5. GASTOS CORRIENTES"/>
    <s v="2. GASTOS PRESUPUESTARIOS"/>
    <x v="2"/>
    <s v=" 1. COMPRA DE BIENES"/>
    <s v="11. SUMINISTROS PARA MANTENIMIENTO Y REPARACION"/>
    <s v=" 1. SUMINISTROS PARA MANTENIMIENTO Y REPARACION"/>
    <s v=" 1. PARA EDIFICIOS Y ESTRUCTURAS"/>
    <s v="0 . RECURSOS ORDINARIOS"/>
    <n v="350"/>
    <n v="0"/>
    <n v="3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9"/>
    <x v="39"/>
    <x v="1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377. MEJORAMIENTO DE LA OFERTA DE LOS SERVICIOS DE SALUD"/>
    <s v="20. SALUD"/>
    <s v="044. SALUD INDIVIDUAL"/>
    <s v="0097. ATENCION MEDICA ESPECIALIZADA"/>
    <s v="00001"/>
    <s v="0006831. MEJORAR LA ATENCION A LA POBLACION"/>
    <s v="00006 - ATENCION"/>
    <n v="2400"/>
    <n v="1200"/>
    <n v="940"/>
    <n v="940"/>
    <x v="32"/>
    <s v="05. AYACUCHO"/>
    <s v="01. HUAMANGA"/>
    <s v="01. AYACUCHO"/>
    <x v="0"/>
    <s v="00. RECURSOS ORDINARIOS"/>
    <s v="5. GASTOS CORRIENTES"/>
    <s v="2. GASTOS PRESUPUESTARIOS"/>
    <x v="2"/>
    <s v=" 1. COMPRA DE BIENES"/>
    <s v="11. SUMINISTROS PARA MANTENIMIENTO Y REPARACION"/>
    <s v=" 1. SUMINISTROS PARA MANTENIMIENTO Y REPARACION"/>
    <s v=" 2. PARA VEHICULOS"/>
    <s v="0 . RECURSOS ORDINARIOS"/>
    <n v="0"/>
    <n v="26880"/>
    <n v="26880"/>
    <n v="26782.42"/>
    <n v="18365.43"/>
    <n v="0"/>
    <n v="0"/>
    <n v="0"/>
    <n v="0"/>
    <n v="0"/>
    <n v="0"/>
    <n v="18365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40"/>
    <x v="40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0"/>
    <s v="00. RECURSOS ORDINARIOS"/>
    <s v="5. GASTOS CORRIENTES"/>
    <s v="2. GASTOS PRESUPUESTARIOS"/>
    <x v="2"/>
    <s v=" 1. COMPRA DE BIENES"/>
    <s v="11. SUMINISTROS PARA MANTENIMIENTO Y REPARACION"/>
    <s v=" 1. SUMINISTROS PARA MANTENIMIENTO Y REPARACION"/>
    <s v=" 5. OTROS MATERIALES DE MANTENIMIENTO"/>
    <s v="0 . RECURSOS ORDINARIOS"/>
    <n v="1900"/>
    <n v="0"/>
    <n v="19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41"/>
    <x v="41"/>
    <x v="1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878."/>
    <s v="5.ACTIVIDAD"/>
    <s v="5006270. BRINDAR ATENCION  A NIÑOS CON DIAGNOSTICO DE ANEMIA POR DEFICIENCIA DE  HIERRO"/>
    <s v="20. SALUD"/>
    <s v="044. SALUD INDIVIDUAL"/>
    <s v="0096. ATENCION MEDICA BASICA"/>
    <s v="00001"/>
    <s v="0289981. BRINDAR ATENCION A NIÑOS CON DIAGNOSTICO DE ANEMIA POR DEFICIENCIA DE HIERRO"/>
    <s v="00086 - PERSONA"/>
    <n v="242"/>
    <n v="121"/>
    <n v="83"/>
    <n v="83"/>
    <x v="69"/>
    <s v="05. AYACUCHO"/>
    <s v="01. HUAMANGA"/>
    <s v="01. AYACUCHO"/>
    <x v="0"/>
    <s v="00. RECURSOS ORDINARIOS"/>
    <s v="5. GASTOS CORRIENTES"/>
    <s v="2. GASTOS PRESUPUESTARIOS"/>
    <x v="2"/>
    <s v=" 1. COMPRA DE BIENES"/>
    <s v="99. COMPRA DE OTROS BIENES"/>
    <s v=" 1. COMPRA DE OTROS BIENES"/>
    <s v=" 3. LIBROS, DIARIOS, REVISTAS Y OTROS BIENES IMPRESOS NO VINCULADOS A ENSEÑANZA"/>
    <s v="0 . RECURSOS ORDINARIOS"/>
    <n v="1200"/>
    <n v="0"/>
    <n v="1200"/>
    <n v="260"/>
    <n v="260"/>
    <n v="0"/>
    <n v="0"/>
    <n v="0"/>
    <n v="0"/>
    <n v="260"/>
    <n v="0"/>
    <n v="0"/>
    <n v="0"/>
    <n v="0"/>
    <n v="0"/>
    <n v="0"/>
    <n v="0"/>
    <n v="0"/>
    <n v="0"/>
    <n v="0"/>
    <n v="0"/>
    <n v="260"/>
    <n v="0"/>
    <n v="0"/>
    <n v="0"/>
    <n v="0"/>
    <n v="0"/>
    <n v="0"/>
    <n v="0"/>
    <n v="0"/>
    <n v="0"/>
    <n v="0"/>
    <n v="0"/>
    <n v="260"/>
    <n v="0"/>
    <n v="0"/>
    <n v="0"/>
    <n v="0"/>
    <n v="0"/>
    <n v="0"/>
    <n v="0"/>
    <n v="0"/>
    <n v="0"/>
    <n v="0"/>
    <n v="0"/>
    <n v="260"/>
    <n v="0"/>
    <n v="0"/>
    <n v="0"/>
    <n v="0"/>
    <n v="0"/>
    <n v="0"/>
    <n v="0"/>
    <x v="0"/>
    <x v="42"/>
    <x v="42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254."/>
    <s v="5.ACTIVIDAD"/>
    <s v="5000017. APLICACION DE VACUNAS COMPLETAS"/>
    <s v="20. SALUD"/>
    <s v="044. SALUD INDIVIDUAL"/>
    <s v="0096. ATENCION MEDICA BASICA"/>
    <s v="00001"/>
    <s v="0033254. NIÑOS CON VACUNA COMPLETA"/>
    <s v="00218 - NIÑO PROTEGIDO"/>
    <n v="3576"/>
    <n v="1788"/>
    <n v="1160"/>
    <n v="1160"/>
    <x v="59"/>
    <s v="05. AYACUCHO"/>
    <s v="01. HUAMANGA"/>
    <s v="01. AYACUCHO"/>
    <x v="0"/>
    <s v="00. RECURSOS ORDINARIOS"/>
    <s v="5. GASTOS CORRIENTES"/>
    <s v="2. GASTOS PRESUPUESTARIOS"/>
    <x v="2"/>
    <s v=" 1. COMPRA DE BIENES"/>
    <s v="99. COMPRA DE OTROS BIENES"/>
    <s v=" 1. COMPRA DE OTROS BIENES"/>
    <s v=" 3. LIBROS, DIARIOS, REVISTAS Y OTROS BIENES IMPRESOS NO VINCULADOS A ENSEÑANZA"/>
    <s v="0 . RECURSOS ORDINARIOS"/>
    <n v="2500"/>
    <n v="0"/>
    <n v="2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42"/>
    <x v="42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255."/>
    <s v="5.ACTIVIDAD"/>
    <s v="5000018. ATENCION A NIÑOS CON CRECIMIENTO Y DESARROLLO - CRED COMPLETO PARA SU EDAD"/>
    <s v="20. SALUD"/>
    <s v="044. SALUD INDIVIDUAL"/>
    <s v="0096. ATENCION MEDICA BASICA"/>
    <s v="00001"/>
    <s v="0033255. NIÑOS CON CRED COMPLETO SEGUN EDAD"/>
    <s v="00219 - NIÑO CONTROLADO"/>
    <n v="1501"/>
    <n v="750"/>
    <n v="0"/>
    <n v="0"/>
    <x v="53"/>
    <s v="05. AYACUCHO"/>
    <s v="01. HUAMANGA"/>
    <s v="01. AYACUCHO"/>
    <x v="0"/>
    <s v="00. RECURSOS ORDINARIOS"/>
    <s v="5. GASTOS CORRIENTES"/>
    <s v="2. GASTOS PRESUPUESTARIOS"/>
    <x v="2"/>
    <s v=" 1. COMPRA DE BIENES"/>
    <s v="99. COMPRA DE OTROS BIENES"/>
    <s v=" 1. COMPRA DE OTROS BIENES"/>
    <s v=" 3. LIBROS, DIARIOS, REVISTAS Y OTROS BIENES IMPRESOS NO VINCULADOS A ENSEÑANZA"/>
    <s v="0 . RECURSOS ORDINARIOS"/>
    <n v="2500"/>
    <n v="0"/>
    <n v="2500"/>
    <n v="2260"/>
    <n v="2260"/>
    <n v="0"/>
    <n v="480"/>
    <n v="0"/>
    <n v="0"/>
    <n v="300"/>
    <n v="0"/>
    <n v="1480"/>
    <n v="0"/>
    <n v="0"/>
    <n v="0"/>
    <n v="0"/>
    <n v="0"/>
    <n v="0"/>
    <n v="0"/>
    <n v="480"/>
    <n v="0"/>
    <n v="300"/>
    <n v="0"/>
    <n v="0"/>
    <n v="0"/>
    <n v="0"/>
    <n v="0"/>
    <n v="0"/>
    <n v="0"/>
    <n v="0"/>
    <n v="0"/>
    <n v="480"/>
    <n v="0"/>
    <n v="300"/>
    <n v="0"/>
    <n v="0"/>
    <n v="0"/>
    <n v="0"/>
    <n v="0"/>
    <n v="0"/>
    <n v="0"/>
    <n v="0"/>
    <n v="0"/>
    <n v="480"/>
    <n v="0"/>
    <n v="300"/>
    <n v="0"/>
    <n v="0"/>
    <n v="0"/>
    <n v="0"/>
    <n v="0"/>
    <n v="0"/>
    <n v="0"/>
    <x v="0"/>
    <x v="42"/>
    <x v="42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255."/>
    <s v="5.ACTIVIDAD"/>
    <s v="5000019. ADMINISTRAR SUPLEMENTO DE HIERRO Y VITAMINA A"/>
    <s v="20. SALUD"/>
    <s v="044. SALUD INDIVIDUAL"/>
    <s v="0096. ATENCION MEDICA BASICA"/>
    <s v="00001"/>
    <s v="0033256. NIÑOS CON SUPLEMENTO DE HIERRO Y VITAMINA A"/>
    <s v="00220 - NIÑO SUPLEMENTADO"/>
    <n v="1238"/>
    <n v="619"/>
    <n v="42"/>
    <n v="42"/>
    <x v="70"/>
    <s v="05. AYACUCHO"/>
    <s v="01. HUAMANGA"/>
    <s v="01. AYACUCHO"/>
    <x v="0"/>
    <s v="00. RECURSOS ORDINARIOS"/>
    <s v="5. GASTOS CORRIENTES"/>
    <s v="2. GASTOS PRESUPUESTARIOS"/>
    <x v="2"/>
    <s v=" 1. COMPRA DE BIENES"/>
    <s v="99. COMPRA DE OTROS BIENES"/>
    <s v=" 1. COMPRA DE OTROS BIENES"/>
    <s v=" 3. LIBROS, DIARIOS, REVISTAS Y OTROS BIENES IMPRESOS NO VINCULADOS A ENSEÑANZA"/>
    <s v="0 . RECURSOS ORDINARIOS"/>
    <n v="2500"/>
    <n v="-2191"/>
    <n v="309"/>
    <n v="255"/>
    <n v="255"/>
    <n v="0"/>
    <n v="0"/>
    <n v="0"/>
    <n v="180"/>
    <n v="75"/>
    <n v="0"/>
    <n v="0"/>
    <n v="0"/>
    <n v="0"/>
    <n v="0"/>
    <n v="0"/>
    <n v="0"/>
    <n v="0"/>
    <n v="0"/>
    <n v="0"/>
    <n v="180"/>
    <n v="75"/>
    <n v="0"/>
    <n v="0"/>
    <n v="0"/>
    <n v="0"/>
    <n v="0"/>
    <n v="0"/>
    <n v="0"/>
    <n v="0"/>
    <n v="0"/>
    <n v="0"/>
    <n v="0"/>
    <n v="255"/>
    <n v="0"/>
    <n v="0"/>
    <n v="0"/>
    <n v="0"/>
    <n v="0"/>
    <n v="0"/>
    <n v="0"/>
    <n v="0"/>
    <n v="0"/>
    <n v="0"/>
    <n v="0"/>
    <n v="255"/>
    <n v="0"/>
    <n v="0"/>
    <n v="0"/>
    <n v="0"/>
    <n v="0"/>
    <n v="0"/>
    <n v="0"/>
    <x v="0"/>
    <x v="42"/>
    <x v="42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12."/>
    <s v="5.ACTIVIDAD"/>
    <s v="5004436. DESPISTAJE DE TUBERCULOSIS EN SINTOMATICOS RESPIRATORIOS"/>
    <s v="20. SALUD"/>
    <s v="044. SALUD INDIVIDUAL"/>
    <s v="0096. ATENCION MEDICA BASICA"/>
    <s v="00001"/>
    <s v="0043962. DESPISTAJE DE TUBERCULOSIS EN SINTOMATICOS RESPIRATORIOS"/>
    <s v="00087 - PERSONA ATENDIDA"/>
    <n v="3212"/>
    <n v="1606"/>
    <n v="647.70000000000005"/>
    <n v="647.70000000000005"/>
    <x v="47"/>
    <s v="05. AYACUCHO"/>
    <s v="01. HUAMANGA"/>
    <s v="01. AYACUCHO"/>
    <x v="0"/>
    <s v="00. RECURSOS ORDINARIOS"/>
    <s v="5. GASTOS CORRIENTES"/>
    <s v="2. GASTOS PRESUPUESTARIOS"/>
    <x v="2"/>
    <s v=" 1. COMPRA DE BIENES"/>
    <s v="99. COMPRA DE OTROS BIENES"/>
    <s v=" 1. COMPRA DE OTROS BIENES"/>
    <s v=" 3. LIBROS, DIARIOS, REVISTAS Y OTROS BIENES IMPRESOS NO VINCULADOS A ENSEÑANZA"/>
    <s v="0 . RECURSOS ORDINARIOS"/>
    <n v="1000"/>
    <n v="-280"/>
    <n v="720"/>
    <n v="720"/>
    <n v="720"/>
    <n v="0"/>
    <n v="0"/>
    <n v="0"/>
    <n v="720"/>
    <n v="0"/>
    <n v="0"/>
    <n v="0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n v="0"/>
    <n v="720"/>
    <n v="0"/>
    <n v="0"/>
    <n v="0"/>
    <n v="0"/>
    <n v="0"/>
    <n v="0"/>
    <n v="0"/>
    <n v="0"/>
    <n v="0"/>
    <n v="0"/>
    <n v="0"/>
    <n v="720"/>
    <n v="0"/>
    <n v="0"/>
    <n v="0"/>
    <n v="0"/>
    <n v="0"/>
    <n v="0"/>
    <n v="0"/>
    <x v="0"/>
    <x v="42"/>
    <x v="42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13."/>
    <s v="5.ACTIVIDAD"/>
    <s v="5004437. CONTROL Y TRATAMIENTO PREVENTIVO DE CONTACTOS DE CASOS TUBERCULOSIS (GENERAL, INDIGENA, PRIVADA DE SU LIBERTAD)"/>
    <s v="20. SALUD"/>
    <s v="044. SALUD INDIVIDUAL"/>
    <s v="0096. ATENCION MEDICA BASICA"/>
    <s v="00001"/>
    <s v="0043963. CONTROL Y TRATAMIENTO PREVENTIVO DE CONTACTOS DE CASOS TUBERCULOSIS (GENERAL, INDIGENA, PRIVADA DE SU LIBERTAD)"/>
    <s v="00087 - PERSONA ATENDIDA"/>
    <n v="13"/>
    <n v="7"/>
    <n v="32"/>
    <n v="32"/>
    <x v="101"/>
    <s v="05. AYACUCHO"/>
    <s v="01. HUAMANGA"/>
    <s v="01. AYACUCHO"/>
    <x v="0"/>
    <s v="00. RECURSOS ORDINARIOS"/>
    <s v="5. GASTOS CORRIENTES"/>
    <s v="2. GASTOS PRESUPUESTARIOS"/>
    <x v="2"/>
    <s v=" 1. COMPRA DE BIENES"/>
    <s v="99. COMPRA DE OTROS BIENES"/>
    <s v=" 1. COMPRA DE OTROS BIENES"/>
    <s v=" 3. LIBROS, DIARIOS, REVISTAS Y OTROS BIENES IMPRESOS NO VINCULADOS A ENSEÑANZA"/>
    <s v="0 . RECURSOS ORDINARIOS"/>
    <n v="2300"/>
    <n v="0"/>
    <n v="2300"/>
    <n v="900"/>
    <n v="900"/>
    <n v="0"/>
    <n v="0"/>
    <n v="0"/>
    <n v="900"/>
    <n v="0"/>
    <n v="0"/>
    <n v="0"/>
    <n v="0"/>
    <n v="0"/>
    <n v="0"/>
    <n v="0"/>
    <n v="0"/>
    <n v="0"/>
    <n v="0"/>
    <n v="0"/>
    <n v="0"/>
    <n v="0"/>
    <n v="900"/>
    <n v="0"/>
    <n v="0"/>
    <n v="0"/>
    <n v="0"/>
    <n v="0"/>
    <n v="0"/>
    <n v="0"/>
    <n v="0"/>
    <n v="0"/>
    <n v="0"/>
    <n v="0"/>
    <n v="900"/>
    <n v="0"/>
    <n v="0"/>
    <n v="0"/>
    <n v="0"/>
    <n v="0"/>
    <n v="0"/>
    <n v="0"/>
    <n v="0"/>
    <n v="0"/>
    <n v="0"/>
    <n v="0"/>
    <n v="900"/>
    <n v="0"/>
    <n v="0"/>
    <n v="0"/>
    <n v="0"/>
    <n v="0"/>
    <n v="0"/>
    <x v="0"/>
    <x v="42"/>
    <x v="42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58."/>
    <s v="5.ACTIVIDAD"/>
    <s v="5000068. MEJORAR EN POBLACION INFORMADA EL USO CORRECTO DE CONDON PARA PREVENCION DE INFECCIONES DE TRANSMISION SEXUAL Y VIH/SIDA"/>
    <s v="20. SALUD"/>
    <s v="043. SALUD COLECTIVA"/>
    <s v="0095. CONTROL DE RIESGOS Y DAÑOS PARA LA SALUD"/>
    <s v="00001"/>
    <s v="0136032. MEJORAR EN POBLACION INFORMADA EL USO CORRECTO DE CONDON PARA PREVENCION DE INFECCIONES DE TRANSMISION SEXUAL Y VIH/SIDA"/>
    <s v="00259 - PERSONA INFORMADA"/>
    <n v="5000"/>
    <n v="2500"/>
    <n v="1500"/>
    <n v="1500"/>
    <x v="74"/>
    <s v="05. AYACUCHO"/>
    <s v="01. HUAMANGA"/>
    <s v="01. AYACUCHO"/>
    <x v="0"/>
    <s v="00. RECURSOS ORDINARIOS"/>
    <s v="5. GASTOS CORRIENTES"/>
    <s v="2. GASTOS PRESUPUESTARIOS"/>
    <x v="2"/>
    <s v=" 1. COMPRA DE BIENES"/>
    <s v="99. COMPRA DE OTROS BIENES"/>
    <s v=" 1. COMPRA DE OTROS BIENES"/>
    <s v=" 3. LIBROS, DIARIOS, REVISTAS Y OTROS BIENES IMPRESOS NO VINCULADOS A ENSEÑANZA"/>
    <s v="0 . RECURSOS ORDINARIOS"/>
    <n v="2500"/>
    <n v="0"/>
    <n v="2500"/>
    <n v="1240"/>
    <n v="1240"/>
    <n v="0"/>
    <n v="0"/>
    <n v="0"/>
    <n v="0"/>
    <n v="0"/>
    <n v="0"/>
    <n v="12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42"/>
    <x v="42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60."/>
    <s v="5.ACTIVIDAD"/>
    <s v="5000070. ENTREGAR A POBLACION ADOLESCENTE INFORMACION SOBRE INFECCIONES DE TRANSMISION SEXUAL Y VIH/SIDA"/>
    <s v="20. SALUD"/>
    <s v="043. SALUD COLECTIVA"/>
    <s v="0095. CONTROL DE RIESGOS Y DAÑOS PARA LA SALUD"/>
    <s v="00001"/>
    <s v="0136034. ENTREGAR A POBLACION ADOLESCENTE INFORMACION SOBRE INFECCIONES DE TRANSMISION SEXUAL Y VIH/SIDA"/>
    <s v="00438 - PULGADAS"/>
    <n v="2150"/>
    <n v="1075"/>
    <n v="154"/>
    <n v="154"/>
    <x v="105"/>
    <s v="05. AYACUCHO"/>
    <s v="01. HUAMANGA"/>
    <s v="01. AYACUCHO"/>
    <x v="0"/>
    <s v="00. RECURSOS ORDINARIOS"/>
    <s v="5. GASTOS CORRIENTES"/>
    <s v="2. GASTOS PRESUPUESTARIOS"/>
    <x v="2"/>
    <s v=" 1. COMPRA DE BIENES"/>
    <s v="99. COMPRA DE OTROS BIENES"/>
    <s v=" 1. COMPRA DE OTROS BIENES"/>
    <s v=" 3. LIBROS, DIARIOS, REVISTAS Y OTROS BIENES IMPRESOS NO VINCULADOS A ENSEÑANZA"/>
    <s v="0 . RECURSOS ORDINARIOS"/>
    <n v="1500"/>
    <n v="0"/>
    <n v="1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42"/>
    <x v="42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61."/>
    <s v="5.ACTIVIDAD"/>
    <s v="5000071. BRINDAR INFORMACION Y ATENCION PREVENTIVA A POBLACION DE ALTO RIESGO"/>
    <s v="20. SALUD"/>
    <s v="043. SALUD COLECTIVA"/>
    <s v="0095. CONTROL DE RIESGOS Y DAÑOS PARA LA SALUD"/>
    <s v="00001"/>
    <s v="0043961. POBLACION DE ALTO RIESGO RECIBE INFORMACION Y ATENCION PREVENTIVA"/>
    <s v="00438 - PULGADAS"/>
    <n v="400"/>
    <n v="200"/>
    <n v="26"/>
    <n v="26"/>
    <x v="60"/>
    <s v="05. AYACUCHO"/>
    <s v="01. HUAMANGA"/>
    <s v="01. AYACUCHO"/>
    <x v="0"/>
    <s v="00. RECURSOS ORDINARIOS"/>
    <s v="5. GASTOS CORRIENTES"/>
    <s v="2. GASTOS PRESUPUESTARIOS"/>
    <x v="2"/>
    <s v=" 1. COMPRA DE BIENES"/>
    <s v="99. COMPRA DE OTROS BIENES"/>
    <s v=" 1. COMPRA DE OTROS BIENES"/>
    <s v=" 3. LIBROS, DIARIOS, REVISTAS Y OTROS BIENES IMPRESOS NO VINCULADOS A ENSEÑANZA"/>
    <s v="0 . RECURSOS ORDINARIOS"/>
    <n v="1500"/>
    <n v="0"/>
    <n v="1500"/>
    <n v="1500"/>
    <n v="1500"/>
    <n v="0"/>
    <n v="0"/>
    <n v="0"/>
    <n v="0"/>
    <n v="1500"/>
    <n v="0"/>
    <n v="0"/>
    <n v="0"/>
    <n v="0"/>
    <n v="0"/>
    <n v="0"/>
    <n v="0"/>
    <n v="0"/>
    <n v="0"/>
    <n v="0"/>
    <n v="0"/>
    <n v="1500"/>
    <n v="0"/>
    <n v="0"/>
    <n v="0"/>
    <n v="0"/>
    <n v="0"/>
    <n v="0"/>
    <n v="0"/>
    <n v="0"/>
    <n v="0"/>
    <n v="0"/>
    <n v="0"/>
    <n v="1500"/>
    <n v="0"/>
    <n v="0"/>
    <n v="0"/>
    <n v="0"/>
    <n v="0"/>
    <n v="0"/>
    <n v="0"/>
    <n v="0"/>
    <n v="0"/>
    <n v="0"/>
    <n v="0"/>
    <n v="1500"/>
    <n v="0"/>
    <n v="0"/>
    <n v="0"/>
    <n v="0"/>
    <n v="0"/>
    <n v="0"/>
    <n v="0"/>
    <x v="0"/>
    <x v="42"/>
    <x v="42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68."/>
    <s v="5.ACTIVIDAD"/>
    <s v="5000078. BRINDAR A POBLACION CON INFECCIONES DE TRANSMISION SEXUAL TRATAMIENTO SEGUN GUIA CLINICAS"/>
    <s v="20. SALUD"/>
    <s v="044. SALUD INDIVIDUAL"/>
    <s v="0096. ATENCION MEDICA BASICA"/>
    <s v="00001"/>
    <s v="0136036. BRINDAR A POBLACION CON INFECCIONES DE TRANSMISION SEXUAL TRATAMIENTO SEGUN GUIA CLINICAS"/>
    <s v="00394 - TECNICO"/>
    <n v="400"/>
    <n v="200"/>
    <n v="39"/>
    <n v="39"/>
    <x v="97"/>
    <s v="05. AYACUCHO"/>
    <s v="01. HUAMANGA"/>
    <s v="01. AYACUCHO"/>
    <x v="0"/>
    <s v="00. RECURSOS ORDINARIOS"/>
    <s v="5. GASTOS CORRIENTES"/>
    <s v="2. GASTOS PRESUPUESTARIOS"/>
    <x v="2"/>
    <s v=" 1. COMPRA DE BIENES"/>
    <s v="99. COMPRA DE OTROS BIENES"/>
    <s v=" 1. COMPRA DE OTROS BIENES"/>
    <s v=" 3. LIBROS, DIARIOS, REVISTAS Y OTROS BIENES IMPRESOS NO VINCULADOS A ENSEÑANZA"/>
    <s v="0 . RECURSOS ORDINARIOS"/>
    <n v="1500"/>
    <n v="0"/>
    <n v="1500"/>
    <n v="1440"/>
    <n v="1440"/>
    <n v="0"/>
    <n v="0"/>
    <n v="690"/>
    <n v="0"/>
    <n v="750"/>
    <n v="0"/>
    <n v="0"/>
    <n v="0"/>
    <n v="0"/>
    <n v="0"/>
    <n v="0"/>
    <n v="0"/>
    <n v="0"/>
    <n v="0"/>
    <n v="0"/>
    <n v="690"/>
    <n v="750"/>
    <n v="0"/>
    <n v="0"/>
    <n v="0"/>
    <n v="0"/>
    <n v="0"/>
    <n v="0"/>
    <n v="0"/>
    <n v="0"/>
    <n v="0"/>
    <n v="0"/>
    <n v="0"/>
    <n v="1440"/>
    <n v="0"/>
    <n v="0"/>
    <n v="0"/>
    <n v="0"/>
    <n v="0"/>
    <n v="0"/>
    <n v="0"/>
    <n v="0"/>
    <n v="0"/>
    <n v="0"/>
    <n v="0"/>
    <n v="1440"/>
    <n v="0"/>
    <n v="0"/>
    <n v="0"/>
    <n v="0"/>
    <n v="0"/>
    <n v="0"/>
    <n v="0"/>
    <x v="0"/>
    <x v="42"/>
    <x v="42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1"/>
    <s v=" ."/>
    <s v="3043983."/>
    <s v="5.ACTIVIDAD"/>
    <s v="5000093. EVALUACION, DIAGNOSTICO Y TRATAMIENTO DE ENFERMEDADES METAXENICAS"/>
    <s v="20. SALUD"/>
    <s v="044. SALUD INDIVIDUAL"/>
    <s v="0096. ATENCION MEDICA BASICA"/>
    <s v="00001"/>
    <s v="0043983. DIAGNOSTICO Y TRATAMIENTO DE ENFERMEDADES METAXENICAS"/>
    <s v="00394 - TECNICO"/>
    <n v="1379"/>
    <n v="689"/>
    <n v="198"/>
    <n v="198"/>
    <x v="46"/>
    <s v="05. AYACUCHO"/>
    <s v="01. HUAMANGA"/>
    <s v="01. AYACUCHO"/>
    <x v="0"/>
    <s v="00. RECURSOS ORDINARIOS"/>
    <s v="5. GASTOS CORRIENTES"/>
    <s v="2. GASTOS PRESUPUESTARIOS"/>
    <x v="2"/>
    <s v=" 1. COMPRA DE BIENES"/>
    <s v="99. COMPRA DE OTROS BIENES"/>
    <s v=" 1. COMPRA DE OTROS BIENES"/>
    <s v=" 3. LIBROS, DIARIOS, REVISTAS Y OTROS BIENES IMPRESOS NO VINCULADOS A ENSEÑANZA"/>
    <s v="0 . RECURSOS ORDINARIOS"/>
    <n v="1500"/>
    <n v="0"/>
    <n v="1500"/>
    <n v="700"/>
    <n v="700"/>
    <n v="0"/>
    <n v="0"/>
    <n v="0"/>
    <n v="700"/>
    <n v="0"/>
    <n v="0"/>
    <n v="0"/>
    <n v="0"/>
    <n v="0"/>
    <n v="0"/>
    <n v="0"/>
    <n v="0"/>
    <n v="0"/>
    <n v="0"/>
    <n v="0"/>
    <n v="0"/>
    <n v="0"/>
    <n v="700"/>
    <n v="0"/>
    <n v="0"/>
    <n v="0"/>
    <n v="0"/>
    <n v="0"/>
    <n v="0"/>
    <n v="0"/>
    <n v="0"/>
    <n v="0"/>
    <n v="0"/>
    <n v="0"/>
    <n v="700"/>
    <n v="0"/>
    <n v="0"/>
    <n v="0"/>
    <n v="0"/>
    <n v="0"/>
    <n v="0"/>
    <n v="0"/>
    <n v="0"/>
    <n v="0"/>
    <n v="0"/>
    <n v="0"/>
    <n v="700"/>
    <n v="0"/>
    <n v="0"/>
    <n v="0"/>
    <n v="0"/>
    <n v="0"/>
    <n v="0"/>
    <x v="0"/>
    <x v="42"/>
    <x v="42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01."/>
    <s v="5.ACTIVIDAD"/>
    <s v="5004452. MONITOREO, SUPERVISION, EVALUACION Y CONTROL DE ENFERMEDADES NO TRANSMISIBLES"/>
    <s v="20. SALUD"/>
    <s v="004. PLANEAMIENTO GUBERNAMENTAL"/>
    <s v="0005. PLANEAMIENTO INSTITUCIONAL"/>
    <s v="00001"/>
    <s v="0043985. MONITOREO, SUPERVISION, EVALUACION Y CONTROL DE ENFERMEDADES NO TRASMISIBLES"/>
    <s v="00060 - INFORME"/>
    <n v="6"/>
    <n v="3"/>
    <n v="3"/>
    <n v="3"/>
    <x v="55"/>
    <s v="05. AYACUCHO"/>
    <s v="01. HUAMANGA"/>
    <s v="01. AYACUCHO"/>
    <x v="0"/>
    <s v="00. RECURSOS ORDINARIOS"/>
    <s v="5. GASTOS CORRIENTES"/>
    <s v="2. GASTOS PRESUPUESTARIOS"/>
    <x v="2"/>
    <s v=" 1. COMPRA DE BIENES"/>
    <s v="99. COMPRA DE OTROS BIENES"/>
    <s v=" 1. COMPRA DE OTROS BIENES"/>
    <s v=" 3. LIBROS, DIARIOS, REVISTAS Y OTROS BIENES IMPRESOS NO VINCULADOS A ENSEÑANZA"/>
    <s v="0 . RECURSOS ORDINARIOS"/>
    <n v="3000"/>
    <n v="-3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42"/>
    <x v="42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7."/>
    <s v="5.ACTIVIDAD"/>
    <s v="5000115. BRINDAR TRATAMIENTO A PERSONAS CON DIAGNOSTICO DE DIABETES MELLITUS"/>
    <s v="20. SALUD"/>
    <s v="044. SALUD INDIVIDUAL"/>
    <s v="0097. ATENCION MEDICA ESPECIALIZADA"/>
    <s v="00001"/>
    <s v="0135999. BRINDAR TRATAMIENTO A PERSONAS CON DIAGNOSTICO DE DIABETES MELLITUS"/>
    <s v="00394 - TECNICO"/>
    <n v="2385"/>
    <n v="1192"/>
    <n v="1378"/>
    <n v="1378"/>
    <x v="108"/>
    <s v="05. AYACUCHO"/>
    <s v="01. HUAMANGA"/>
    <s v="01. AYACUCHO"/>
    <x v="0"/>
    <s v="00. RECURSOS ORDINARIOS"/>
    <s v="5. GASTOS CORRIENTES"/>
    <s v="2. GASTOS PRESUPUESTARIOS"/>
    <x v="2"/>
    <s v=" 1. COMPRA DE BIENES"/>
    <s v="99. COMPRA DE OTROS BIENES"/>
    <s v=" 1. COMPRA DE OTROS BIENES"/>
    <s v=" 3. LIBROS, DIARIOS, REVISTAS Y OTROS BIENES IMPRESOS NO VINCULADOS A ENSEÑANZA"/>
    <s v="0 . RECURSOS ORDINARIOS"/>
    <n v="3500"/>
    <n v="3000"/>
    <n v="6500"/>
    <n v="1250"/>
    <n v="1250"/>
    <n v="0"/>
    <n v="0"/>
    <n v="0"/>
    <n v="0"/>
    <n v="320"/>
    <n v="0"/>
    <n v="930"/>
    <n v="0"/>
    <n v="0"/>
    <n v="0"/>
    <n v="0"/>
    <n v="0"/>
    <n v="0"/>
    <n v="0"/>
    <n v="0"/>
    <n v="0"/>
    <n v="320"/>
    <n v="0"/>
    <n v="0"/>
    <n v="0"/>
    <n v="0"/>
    <n v="0"/>
    <n v="0"/>
    <n v="0"/>
    <n v="0"/>
    <n v="0"/>
    <n v="0"/>
    <n v="0"/>
    <n v="320"/>
    <n v="0"/>
    <n v="0"/>
    <n v="0"/>
    <n v="0"/>
    <n v="0"/>
    <n v="0"/>
    <n v="0"/>
    <n v="0"/>
    <n v="0"/>
    <n v="0"/>
    <n v="0"/>
    <n v="320"/>
    <n v="0"/>
    <n v="0"/>
    <n v="0"/>
    <n v="0"/>
    <n v="0"/>
    <n v="0"/>
    <n v="0"/>
    <x v="0"/>
    <x v="42"/>
    <x v="42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815."/>
    <s v="5.ACTIVIDAD"/>
    <s v="5006001. CONSEJERIA PARA PACIENTES DIAGNOSTICADOS CON CANCER"/>
    <s v="20. SALUD"/>
    <s v="044. SALUD INDIVIDUAL"/>
    <s v="0096. ATENCION MEDICA BASICA"/>
    <s v="00001"/>
    <s v="0215074. CONSEJERIA PARA PACIENTES DIAGNOSTICADOS CON CANCER"/>
    <s v="00259 - PERSONA INFORMADA"/>
    <n v="380"/>
    <n v="190"/>
    <n v="70"/>
    <n v="70"/>
    <x v="91"/>
    <s v="05. AYACUCHO"/>
    <s v="01. HUAMANGA"/>
    <s v="01. AYACUCHO"/>
    <x v="0"/>
    <s v="00. RECURSOS ORDINARIOS"/>
    <s v="5. GASTOS CORRIENTES"/>
    <s v="2. GASTOS PRESUPUESTARIOS"/>
    <x v="2"/>
    <s v=" 1. COMPRA DE BIENES"/>
    <s v="99. COMPRA DE OTROS BIENES"/>
    <s v=" 1. COMPRA DE OTROS BIENES"/>
    <s v=" 3. LIBROS, DIARIOS, REVISTAS Y OTROS BIENES IMPRESOS NO VINCULADOS A ENSEÑANZA"/>
    <s v="0 . RECURSOS ORDINARIOS"/>
    <n v="0"/>
    <n v="3000"/>
    <n v="3000"/>
    <n v="600"/>
    <n v="60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42"/>
    <x v="42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698."/>
    <s v="5.ACTIVIDAD"/>
    <s v="5005188. TAMIZAJE DE PERSONAS CON TRASTORNOS MENTALES Y PROBLEMAS PSICOSOCIALES"/>
    <s v="20. SALUD"/>
    <s v="044. SALUD INDIVIDUAL"/>
    <s v="0096. ATENCION MEDICA BASICA"/>
    <s v="00001"/>
    <s v="0136780. TAMIZAJE DE PERSONAS CON TRASTORNOS MENTALES Y PROBLEMAS PSICOSOCIALES"/>
    <s v="00438 - PULGADAS"/>
    <n v="310"/>
    <n v="155"/>
    <n v="273"/>
    <n v="273"/>
    <x v="31"/>
    <s v="05. AYACUCHO"/>
    <s v="01. HUAMANGA"/>
    <s v="01. AYACUCHO"/>
    <x v="0"/>
    <s v="00. RECURSOS ORDINARIOS"/>
    <s v="5. GASTOS CORRIENTES"/>
    <s v="2. GASTOS PRESUPUESTARIOS"/>
    <x v="2"/>
    <s v=" 1. COMPRA DE BIENES"/>
    <s v="99. COMPRA DE OTROS BIENES"/>
    <s v=" 1. COMPRA DE OTROS BIENES"/>
    <s v=" 3. LIBROS, DIARIOS, REVISTAS Y OTROS BIENES IMPRESOS NO VINCULADOS A ENSEÑANZA"/>
    <s v="0 . RECURSOS ORDINARIOS"/>
    <n v="0"/>
    <n v="1000"/>
    <n v="1000"/>
    <n v="216"/>
    <n v="216"/>
    <n v="0"/>
    <n v="0"/>
    <n v="0"/>
    <n v="0"/>
    <n v="0"/>
    <n v="0"/>
    <n v="2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42"/>
    <x v="42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734."/>
    <s v="5.ACTIVIDAD"/>
    <s v="5005610. ADMINISTRACION Y ALMACENAMIENTO DE INFRAESTRUCTURA MOVIL PARA LA ASISTENCIA FRENTE A EMERGENCIAS Y DESASTRES"/>
    <s v="20. SALUD"/>
    <s v="016. GESTION DE RIESGOS Y EMERGENCIAS"/>
    <s v="0036. ATENCION INMEDIATA DE DESASTRES"/>
    <s v="00001"/>
    <s v="0160877. ADMINISTRACION Y ALMACENAMIENTO DE INFRAESTRUCTURA MOVIL PARA LA ASISTENCIA FRENTE A EMERGENCIAS Y DESASTRES"/>
    <s v="00614 - INFRAESTRUCTURA MOVIL"/>
    <n v="1"/>
    <n v="1"/>
    <n v="1"/>
    <n v="1"/>
    <x v="95"/>
    <s v="05. AYACUCHO"/>
    <s v="01. HUAMANGA"/>
    <s v="01. AYACUCHO"/>
    <x v="0"/>
    <s v="00. RECURSOS ORDINARIOS"/>
    <s v="5. GASTOS CORRIENTES"/>
    <s v="2. GASTOS PRESUPUESTARIOS"/>
    <x v="2"/>
    <s v=" 1. COMPRA DE BIENES"/>
    <s v="99. COMPRA DE OTROS BIENES"/>
    <s v=" 1. COMPRA DE OTROS BIENES"/>
    <s v="99. OTROS BIENES"/>
    <s v="0 . RECURSOS ORDINARIOS"/>
    <n v="45000"/>
    <n v="0"/>
    <n v="4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43"/>
    <x v="43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738."/>
    <s v="5.ACTIVIDAD"/>
    <s v="5005580. FORMACION Y CAPACITACION EN MATERIA DE GESTION DE RIESGO DE DESASTRES Y ADAPTACION AL CAMBIO CLIMATICO"/>
    <s v="20. SALUD"/>
    <s v="016. GESTION DE RIESGOS Y EMERGENCIAS"/>
    <s v="0035. PREVENCION DE DESASTRES"/>
    <s v="00001"/>
    <s v="0160796. FORMACION Y CAPACITACION EN MATERIA DE GESTION DE RIESGO DE DESASTRES"/>
    <s v="00086 - PERSONA"/>
    <n v="150"/>
    <n v="75"/>
    <n v="109"/>
    <n v="109"/>
    <x v="58"/>
    <s v="05. AYACUCHO"/>
    <s v="01. HUAMANGA"/>
    <s v="01. AYACUCHO"/>
    <x v="0"/>
    <s v="00. RECURSOS ORDINARIOS"/>
    <s v="5. GASTOS CORRIENTES"/>
    <s v="2. GASTOS PRESUPUESTARIOS"/>
    <x v="2"/>
    <s v=" 2. CONTRATACION DE SERVICIOS"/>
    <s v=" 1. VIAJES"/>
    <s v=" 2. VIAJES DOMESTICOS"/>
    <s v=" 1. PASAJES Y GASTOS DE TRANSPORTE"/>
    <s v="0 . RECURSOS ORDINARIOS"/>
    <n v="1000"/>
    <n v="0"/>
    <n v="1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44"/>
    <x v="44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738."/>
    <s v="5.ACTIVIDAD"/>
    <s v="5005580. FORMACION Y CAPACITACION EN MATERIA DE GESTION DE RIESGO DE DESASTRES Y ADAPTACION AL CAMBIO CLIMATICO"/>
    <s v="20. SALUD"/>
    <s v="016. GESTION DE RIESGOS Y EMERGENCIAS"/>
    <s v="0035. PREVENCION DE DESASTRES"/>
    <s v="00001"/>
    <s v="0160796. FORMACION Y CAPACITACION EN MATERIA DE GESTION DE RIESGO DE DESASTRES"/>
    <s v="00086 - PERSONA"/>
    <n v="150"/>
    <n v="75"/>
    <n v="109"/>
    <n v="109"/>
    <x v="58"/>
    <s v="05. AYACUCHO"/>
    <s v="01. HUAMANGA"/>
    <s v="01. AYACUCHO"/>
    <x v="0"/>
    <s v="00. RECURSOS ORDINARIOS"/>
    <s v="5. GASTOS CORRIENTES"/>
    <s v="2. GASTOS PRESUPUESTARIOS"/>
    <x v="2"/>
    <s v=" 2. CONTRATACION DE SERVICIOS"/>
    <s v=" 1. VIAJES"/>
    <s v=" 2. VIAJES DOMESTICOS"/>
    <s v=" 2. VIATICOS Y ASIGNACIONES POR COMISION DE SERVICIO"/>
    <s v="0 . RECURSOS ORDINARIOS"/>
    <n v="5000"/>
    <n v="0"/>
    <n v="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45"/>
    <x v="45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195. SERVICIOS GENERALES"/>
    <s v="20. SALUD"/>
    <s v="044. SALUD INDIVIDUAL"/>
    <s v="0096. ATENCION MEDICA BASICA"/>
    <s v="00001"/>
    <s v="0000299. BRINDAR ATENCION BASICA DE SALUD"/>
    <s v="00107 - SERVICIO"/>
    <n v="107"/>
    <n v="53"/>
    <n v="45"/>
    <n v="45"/>
    <x v="5"/>
    <s v="05. AYACUCHO"/>
    <s v="01. HUAMANGA"/>
    <s v="01. AYACUCHO"/>
    <x v="0"/>
    <s v="00. RECURSOS ORDINARIOS"/>
    <s v="5. GASTOS CORRIENTES"/>
    <s v="2. GASTOS PRESUPUESTARIOS"/>
    <x v="2"/>
    <s v=" 2. CONTRATACION DE SERVICIOS"/>
    <s v=" 2. SERVICIOS BASICOS, COMUNICACIONES, PUBLICIDAD Y DIFUSION"/>
    <s v=" 1. SERVICIOS DE ENERGIA ELECTRICA, AGUA Y GAS"/>
    <s v=" 1. SERVICIO DE SUMINISTRO DE ENERGIA ELECTRICA"/>
    <s v="0 . RECURSOS ORDINARIOS"/>
    <n v="407089"/>
    <n v="0"/>
    <n v="407089"/>
    <n v="407089"/>
    <n v="407089"/>
    <n v="0"/>
    <n v="0"/>
    <n v="56259.3"/>
    <n v="50596.800000000003"/>
    <n v="29767.7"/>
    <n v="0"/>
    <n v="51724.1"/>
    <n v="0"/>
    <n v="0"/>
    <n v="0"/>
    <n v="0"/>
    <n v="0"/>
    <n v="0"/>
    <n v="0"/>
    <n v="56259.3"/>
    <n v="50596.800000000003"/>
    <n v="29767.7"/>
    <n v="0"/>
    <n v="51724.1"/>
    <n v="0"/>
    <n v="0"/>
    <n v="0"/>
    <n v="0"/>
    <n v="0"/>
    <n v="0"/>
    <n v="0"/>
    <n v="56259.3"/>
    <n v="50596.800000000003"/>
    <n v="29767.7"/>
    <n v="0"/>
    <n v="24784.5"/>
    <n v="0"/>
    <n v="0"/>
    <n v="0"/>
    <n v="0"/>
    <n v="0"/>
    <n v="0"/>
    <n v="0"/>
    <n v="56259.3"/>
    <n v="50596.800000000003"/>
    <n v="29767.7"/>
    <n v="0"/>
    <n v="24784.5"/>
    <n v="0"/>
    <n v="0"/>
    <n v="0"/>
    <n v="0"/>
    <n v="0"/>
    <x v="0"/>
    <x v="46"/>
    <x v="46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0"/>
    <s v="00. RECURSOS ORDINARIOS"/>
    <s v="5. GASTOS CORRIENTES"/>
    <s v="2. GASTOS PRESUPUESTARIOS"/>
    <x v="2"/>
    <s v=" 2. CONTRATACION DE SERVICIOS"/>
    <s v=" 2. SERVICIOS BASICOS, COMUNICACIONES, PUBLICIDAD Y DIFUSION"/>
    <s v=" 1. SERVICIOS DE ENERGIA ELECTRICA, AGUA Y GAS"/>
    <s v=" 1. SERVICIO DE SUMINISTRO DE ENERGIA ELECTRICA"/>
    <s v="0 . RECURSOS ORDINARIOS"/>
    <n v="1912632"/>
    <n v="0"/>
    <n v="1912632"/>
    <n v="1912632"/>
    <n v="1912632"/>
    <n v="0"/>
    <n v="0"/>
    <n v="166810.6"/>
    <n v="173837.2"/>
    <n v="163224.6"/>
    <n v="0"/>
    <n v="321760.59999999998"/>
    <n v="0"/>
    <n v="0"/>
    <n v="0"/>
    <n v="0"/>
    <n v="0"/>
    <n v="0"/>
    <n v="0"/>
    <n v="166810.6"/>
    <n v="173837.2"/>
    <n v="163224.6"/>
    <n v="0"/>
    <n v="321760.59999999998"/>
    <n v="0"/>
    <n v="0"/>
    <n v="0"/>
    <n v="0"/>
    <n v="0"/>
    <n v="0"/>
    <n v="0"/>
    <n v="166810.6"/>
    <n v="173837.2"/>
    <n v="163224.6"/>
    <n v="0"/>
    <n v="163100.6"/>
    <n v="0"/>
    <n v="0"/>
    <n v="0"/>
    <n v="0"/>
    <n v="0"/>
    <n v="0"/>
    <n v="0"/>
    <n v="166810.6"/>
    <n v="173837.2"/>
    <n v="163224.6"/>
    <n v="0"/>
    <n v="163100.6"/>
    <n v="0"/>
    <n v="0"/>
    <n v="0"/>
    <n v="0"/>
    <n v="0"/>
    <x v="0"/>
    <x v="46"/>
    <x v="46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195. SERVICIOS GENERALES"/>
    <s v="20. SALUD"/>
    <s v="044. SALUD INDIVIDUAL"/>
    <s v="0096. ATENCION MEDICA BASICA"/>
    <s v="00001"/>
    <s v="0000299. BRINDAR ATENCION BASICA DE SALUD"/>
    <s v="00107 - SERVICIO"/>
    <n v="107"/>
    <n v="53"/>
    <n v="45"/>
    <n v="45"/>
    <x v="5"/>
    <s v="05. AYACUCHO"/>
    <s v="01. HUAMANGA"/>
    <s v="01. AYACUCHO"/>
    <x v="0"/>
    <s v="00. RECURSOS ORDINARIOS"/>
    <s v="5. GASTOS CORRIENTES"/>
    <s v="2. GASTOS PRESUPUESTARIOS"/>
    <x v="2"/>
    <s v=" 2. CONTRATACION DE SERVICIOS"/>
    <s v=" 2. SERVICIOS BASICOS, COMUNICACIONES, PUBLICIDAD Y DIFUSION"/>
    <s v=" 1. SERVICIOS DE ENERGIA ELECTRICA, AGUA Y GAS"/>
    <s v=" 2. SERVICIO DE AGUA Y DESAGUE"/>
    <s v="0 . RECURSOS ORDINARIOS"/>
    <n v="209293"/>
    <n v="0"/>
    <n v="209293"/>
    <n v="209293"/>
    <n v="209293"/>
    <n v="0"/>
    <n v="0"/>
    <n v="13234.5"/>
    <n v="8616.7000000000007"/>
    <n v="9836"/>
    <n v="19620.5"/>
    <n v="11894.25"/>
    <n v="0"/>
    <n v="0"/>
    <n v="0"/>
    <n v="0"/>
    <n v="0"/>
    <n v="0"/>
    <n v="0"/>
    <n v="13234.5"/>
    <n v="8616.7000000000007"/>
    <n v="9836"/>
    <n v="19620.5"/>
    <n v="11894.25"/>
    <n v="0"/>
    <n v="0"/>
    <n v="0"/>
    <n v="0"/>
    <n v="0"/>
    <n v="0"/>
    <n v="0"/>
    <n v="13234.5"/>
    <n v="0"/>
    <n v="18452.7"/>
    <n v="19620.5"/>
    <n v="11894.25"/>
    <n v="0"/>
    <n v="0"/>
    <n v="0"/>
    <n v="0"/>
    <n v="0"/>
    <n v="0"/>
    <n v="0"/>
    <n v="13234.5"/>
    <n v="0"/>
    <n v="18452.7"/>
    <n v="19620.5"/>
    <n v="11894.25"/>
    <n v="0"/>
    <n v="0"/>
    <n v="0"/>
    <n v="0"/>
    <n v="0"/>
    <x v="0"/>
    <x v="47"/>
    <x v="47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0"/>
    <s v="00. RECURSOS ORDINARIOS"/>
    <s v="5. GASTOS CORRIENTES"/>
    <s v="2. GASTOS PRESUPUESTARIOS"/>
    <x v="2"/>
    <s v=" 2. CONTRATACION DE SERVICIOS"/>
    <s v=" 2. SERVICIOS BASICOS, COMUNICACIONES, PUBLICIDAD Y DIFUSION"/>
    <s v=" 1. SERVICIOS DE ENERGIA ELECTRICA, AGUA Y GAS"/>
    <s v=" 2. SERVICIO DE AGUA Y DESAGUE"/>
    <s v="0 . RECURSOS ORDINARIOS"/>
    <n v="300000"/>
    <n v="0"/>
    <n v="300000"/>
    <n v="300000"/>
    <n v="300000"/>
    <n v="0"/>
    <n v="0"/>
    <n v="13234.5"/>
    <n v="8616.7000000000007"/>
    <n v="9837.1"/>
    <n v="22705.200000000001"/>
    <n v="21657.45"/>
    <n v="0"/>
    <n v="0"/>
    <n v="0"/>
    <n v="0"/>
    <n v="0"/>
    <n v="0"/>
    <n v="0"/>
    <n v="13234.5"/>
    <n v="8616.7000000000007"/>
    <n v="9837.1"/>
    <n v="22705.200000000001"/>
    <n v="21657.45"/>
    <n v="0"/>
    <n v="0"/>
    <n v="0"/>
    <n v="0"/>
    <n v="0"/>
    <n v="0"/>
    <n v="0"/>
    <n v="13234.5"/>
    <n v="0"/>
    <n v="18453.8"/>
    <n v="22705.200000000001"/>
    <n v="21657.45"/>
    <n v="0"/>
    <n v="0"/>
    <n v="0"/>
    <n v="0"/>
    <n v="0"/>
    <n v="0"/>
    <n v="0"/>
    <n v="13234.5"/>
    <n v="0"/>
    <n v="18453.8"/>
    <n v="22705.200000000001"/>
    <n v="21657.45"/>
    <n v="0"/>
    <n v="0"/>
    <n v="0"/>
    <n v="0"/>
    <n v="0"/>
    <x v="0"/>
    <x v="47"/>
    <x v="47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195. SERVICIOS GENERALES"/>
    <s v="20. SALUD"/>
    <s v="044. SALUD INDIVIDUAL"/>
    <s v="0096. ATENCION MEDICA BASICA"/>
    <s v="00001"/>
    <s v="0000299. BRINDAR ATENCION BASICA DE SALUD"/>
    <s v="00107 - SERVICIO"/>
    <n v="107"/>
    <n v="53"/>
    <n v="45"/>
    <n v="45"/>
    <x v="5"/>
    <s v="05. AYACUCHO"/>
    <s v="01. HUAMANGA"/>
    <s v="01. AYACUCHO"/>
    <x v="0"/>
    <s v="00. RECURSOS ORDINARIOS"/>
    <s v="5. GASTOS CORRIENTES"/>
    <s v="2. GASTOS PRESUPUESTARIOS"/>
    <x v="2"/>
    <s v=" 2. CONTRATACION DE SERVICIOS"/>
    <s v=" 2. SERVICIOS BASICOS, COMUNICACIONES, PUBLICIDAD Y DIFUSION"/>
    <s v=" 2. SERVICIOS DE TELEFONIA E INTERNET"/>
    <s v=" 1. SERVICIO DE TELEFONIA MOVIL"/>
    <s v="0 . RECURSOS ORDINARIOS"/>
    <n v="2000"/>
    <n v="0"/>
    <n v="2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48"/>
    <x v="48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195. SERVICIOS GENERALES"/>
    <s v="20. SALUD"/>
    <s v="044. SALUD INDIVIDUAL"/>
    <s v="0096. ATENCION MEDICA BASICA"/>
    <s v="00001"/>
    <s v="0000299. BRINDAR ATENCION BASICA DE SALUD"/>
    <s v="00107 - SERVICIO"/>
    <n v="107"/>
    <n v="53"/>
    <n v="45"/>
    <n v="45"/>
    <x v="5"/>
    <s v="05. AYACUCHO"/>
    <s v="01. HUAMANGA"/>
    <s v="01. AYACUCHO"/>
    <x v="0"/>
    <s v="00. RECURSOS ORDINARIOS"/>
    <s v="5. GASTOS CORRIENTES"/>
    <s v="2. GASTOS PRESUPUESTARIOS"/>
    <x v="2"/>
    <s v=" 2. CONTRATACION DE SERVICIOS"/>
    <s v=" 2. SERVICIOS BASICOS, COMUNICACIONES, PUBLICIDAD Y DIFUSION"/>
    <s v=" 2. SERVICIOS DE TELEFONIA E INTERNET"/>
    <s v=" 2. SERVICIO DE TELEFONIA FIJA"/>
    <s v="0 . RECURSOS ORDINARIOS"/>
    <n v="31431"/>
    <n v="0"/>
    <n v="314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49"/>
    <x v="49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0"/>
    <s v="00. RECURSOS ORDINARIOS"/>
    <s v="5. GASTOS CORRIENTES"/>
    <s v="2. GASTOS PRESUPUESTARIOS"/>
    <x v="2"/>
    <s v=" 2. CONTRATACION DE SERVICIOS"/>
    <s v=" 2. SERVICIOS BASICOS, COMUNICACIONES, PUBLICIDAD Y DIFUSION"/>
    <s v=" 2. SERVICIOS DE TELEFONIA E INTERNET"/>
    <s v=" 3. SERVICIO DE INTERNET"/>
    <s v="0 . RECURSOS ORDINARIOS"/>
    <n v="201814"/>
    <n v="0"/>
    <n v="2018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50"/>
    <x v="50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0"/>
    <s v="00. RECURSOS ORDINARIOS"/>
    <s v="5. GASTOS CORRIENTES"/>
    <s v="2. GASTOS PRESUPUESTARIOS"/>
    <x v="2"/>
    <s v=" 2. CONTRATACION DE SERVICIOS"/>
    <s v=" 2. SERVICIOS BASICOS, COMUNICACIONES, PUBLICIDAD Y DIFUSION"/>
    <s v=" 3. SERVICIOS DE MENSAJERIA, TELECOMUNICACIONES Y OTROS AFINES"/>
    <s v=" 1. CORREOS Y SERVICIOS DE MENSAJERIA"/>
    <s v="0 . RECURSOS ORDINARIOS"/>
    <n v="781275"/>
    <n v="-614215"/>
    <n v="1670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51"/>
    <x v="51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0"/>
    <s v="00. RECURSOS ORDINARIOS"/>
    <s v="5. GASTOS CORRIENTES"/>
    <s v="2. GASTOS PRESUPUESTARIOS"/>
    <x v="2"/>
    <s v=" 2. CONTRATACION DE SERVICIOS"/>
    <s v=" 2. SERVICIOS BASICOS, COMUNICACIONES, PUBLICIDAD Y DIFUSION"/>
    <s v=" 3. SERVICIOS DE MENSAJERIA, TELECOMUNICACIONES Y OTROS AFINES"/>
    <s v="99. OTROS SERVICIOS DE COMUNICACION"/>
    <s v="0 . RECURSOS ORDINARIOS"/>
    <n v="18000"/>
    <n v="0"/>
    <n v="18000"/>
    <n v="980"/>
    <n v="980"/>
    <n v="0"/>
    <n v="490"/>
    <n v="0"/>
    <n v="0"/>
    <n v="0"/>
    <n v="490"/>
    <n v="0"/>
    <n v="0"/>
    <n v="0"/>
    <n v="0"/>
    <n v="0"/>
    <n v="0"/>
    <n v="0"/>
    <n v="0"/>
    <n v="0"/>
    <n v="0"/>
    <n v="490"/>
    <n v="0"/>
    <n v="0"/>
    <n v="0"/>
    <n v="0"/>
    <n v="0"/>
    <n v="0"/>
    <n v="0"/>
    <n v="0"/>
    <n v="0"/>
    <n v="0"/>
    <n v="0"/>
    <n v="490"/>
    <n v="0"/>
    <n v="0"/>
    <n v="0"/>
    <n v="0"/>
    <n v="0"/>
    <n v="0"/>
    <n v="0"/>
    <n v="0"/>
    <n v="0"/>
    <n v="0"/>
    <n v="0"/>
    <n v="490"/>
    <n v="0"/>
    <n v="0"/>
    <n v="0"/>
    <n v="0"/>
    <n v="0"/>
    <n v="0"/>
    <n v="0"/>
    <x v="0"/>
    <x v="52"/>
    <x v="52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286. VIGILANCIA Y CONTROL EPIDEMIOLOGICO"/>
    <s v="20. SALUD"/>
    <s v="043. SALUD COLECTIVA"/>
    <s v="0093. REGULACION Y CONTROL SANITARIO"/>
    <s v="00001"/>
    <s v="0000281. ATENCION SANITARIA"/>
    <s v="00001 - ACCION"/>
    <n v="10"/>
    <n v="0"/>
    <n v="4"/>
    <n v="4"/>
    <x v="93"/>
    <s v="05. AYACUCHO"/>
    <s v="01. HUAMANGA"/>
    <s v="01. AYACUCHO"/>
    <x v="0"/>
    <s v="00. RECURSOS ORDINARIOS"/>
    <s v="5. GASTOS CORRIENTES"/>
    <s v="2. GASTOS PRESUPUESTARIOS"/>
    <x v="2"/>
    <s v=" 2. CONTRATACION DE SERVICIOS"/>
    <s v=" 3. SERVICIOS DE LIMPIEZA, SEGURIDAD Y VIGILANCIA"/>
    <s v=" 1. SERVICIOS DE LIMPIEZA, SEGURIDAD Y VIGILANCIA"/>
    <s v=" 1. SERVICIOS DE LIMPIEZA E HIGIENE"/>
    <s v="0 . RECURSOS ORDINARIOS"/>
    <n v="0"/>
    <n v="30000"/>
    <n v="30000"/>
    <n v="29970"/>
    <n v="29970"/>
    <n v="0"/>
    <n v="0"/>
    <n v="0"/>
    <n v="0"/>
    <n v="4945"/>
    <n v="0"/>
    <n v="6460"/>
    <n v="0"/>
    <n v="0"/>
    <n v="0"/>
    <n v="0"/>
    <n v="0"/>
    <n v="0"/>
    <n v="0"/>
    <n v="0"/>
    <n v="0"/>
    <n v="0"/>
    <n v="4945"/>
    <n v="6460"/>
    <n v="0"/>
    <n v="0"/>
    <n v="0"/>
    <n v="0"/>
    <n v="0"/>
    <n v="0"/>
    <n v="0"/>
    <n v="0"/>
    <n v="0"/>
    <n v="0"/>
    <n v="4945"/>
    <n v="0"/>
    <n v="0"/>
    <n v="0"/>
    <n v="0"/>
    <n v="0"/>
    <n v="0"/>
    <n v="0"/>
    <n v="0"/>
    <n v="0"/>
    <n v="0"/>
    <n v="0"/>
    <n v="4945"/>
    <n v="0"/>
    <n v="0"/>
    <n v="0"/>
    <n v="0"/>
    <n v="0"/>
    <n v="0"/>
    <x v="0"/>
    <x v="53"/>
    <x v="53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0"/>
    <s v="00. RECURSOS ORDINARIOS"/>
    <s v="5. GASTOS CORRIENTES"/>
    <s v="2. GASTOS PRESUPUESTARIOS"/>
    <x v="2"/>
    <s v=" 2. CONTRATACION DE SERVICIOS"/>
    <s v=" 3. SERVICIOS DE LIMPIEZA, SEGURIDAD Y VIGILANCIA"/>
    <s v=" 1. SERVICIOS DE LIMPIEZA, SEGURIDAD Y VIGILANCIA"/>
    <s v=" 1. SERVICIOS DE LIMPIEZA E HIGIENE"/>
    <s v="0 . RECURSOS ORDINARIOS"/>
    <n v="4284897"/>
    <n v="0"/>
    <n v="4284897"/>
    <n v="1736400"/>
    <n v="1736400"/>
    <n v="0"/>
    <n v="0"/>
    <n v="0"/>
    <n v="1736400"/>
    <n v="0"/>
    <n v="0"/>
    <n v="0"/>
    <n v="0"/>
    <n v="0"/>
    <n v="0"/>
    <n v="0"/>
    <n v="0"/>
    <n v="0"/>
    <n v="0"/>
    <n v="0"/>
    <n v="0"/>
    <n v="1736400"/>
    <n v="0"/>
    <n v="0"/>
    <n v="0"/>
    <n v="0"/>
    <n v="0"/>
    <n v="0"/>
    <n v="0"/>
    <n v="0"/>
    <n v="0"/>
    <n v="0"/>
    <n v="0"/>
    <n v="1562760"/>
    <n v="0"/>
    <n v="173640"/>
    <n v="0"/>
    <n v="0"/>
    <n v="0"/>
    <n v="0"/>
    <n v="0"/>
    <n v="0"/>
    <n v="0"/>
    <n v="0"/>
    <n v="0"/>
    <n v="1562760"/>
    <n v="0"/>
    <n v="173640"/>
    <n v="0"/>
    <n v="0"/>
    <n v="0"/>
    <n v="0"/>
    <n v="0"/>
    <x v="0"/>
    <x v="53"/>
    <x v="53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0"/>
    <s v="00. RECURSOS ORDINARIOS"/>
    <s v="5. GASTOS CORRIENTES"/>
    <s v="2. GASTOS PRESUPUESTARIOS"/>
    <x v="2"/>
    <s v=" 2. CONTRATACION DE SERVICIOS"/>
    <s v=" 3. SERVICIOS DE LIMPIEZA, SEGURIDAD Y VIGILANCIA"/>
    <s v=" 1. SERVICIOS DE LIMPIEZA, SEGURIDAD Y VIGILANCIA"/>
    <s v=" 2. SERVICIOS DE SEGURIDAD Y VIGILANCIA"/>
    <s v="0 . RECURSOS ORDINARIOS"/>
    <n v="3691463"/>
    <n v="0"/>
    <n v="3691463"/>
    <n v="3149932"/>
    <n v="3149932"/>
    <n v="0"/>
    <n v="0"/>
    <n v="0"/>
    <n v="0"/>
    <n v="942300"/>
    <n v="0"/>
    <n v="0"/>
    <n v="0"/>
    <n v="0"/>
    <n v="0"/>
    <n v="0"/>
    <n v="0"/>
    <n v="0"/>
    <n v="0"/>
    <n v="0"/>
    <n v="0"/>
    <n v="942300"/>
    <n v="0"/>
    <n v="0"/>
    <n v="0"/>
    <n v="0"/>
    <n v="0"/>
    <n v="0"/>
    <n v="0"/>
    <n v="0"/>
    <n v="0"/>
    <n v="0"/>
    <n v="0"/>
    <n v="0"/>
    <n v="848070"/>
    <n v="0"/>
    <n v="0"/>
    <n v="0"/>
    <n v="0"/>
    <n v="0"/>
    <n v="0"/>
    <n v="0"/>
    <n v="0"/>
    <n v="0"/>
    <n v="0"/>
    <n v="0"/>
    <n v="848070"/>
    <n v="0"/>
    <n v="0"/>
    <n v="0"/>
    <n v="0"/>
    <n v="0"/>
    <n v="0"/>
    <x v="0"/>
    <x v="54"/>
    <x v="54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740."/>
    <s v="5.ACTIVIDAD"/>
    <s v="5005585. SEGURIDAD FISICO FUNCIONAL DE SERVICIOS PUBLICOS"/>
    <s v="20. SALUD"/>
    <s v="016. GESTION DE RIESGOS Y EMERGENCIAS"/>
    <s v="0035. PREVENCION DE DESASTRES"/>
    <s v="00001"/>
    <s v="0160801. SEGURIDAD FISICO FUNCIONAL DE SERVICIOS PUBLICOS"/>
    <s v="00065 - INTERVENCION"/>
    <n v="4"/>
    <n v="2"/>
    <n v="2"/>
    <n v="2"/>
    <x v="62"/>
    <s v="05. AYACUCHO"/>
    <s v="01. HUAMANGA"/>
    <s v="01. AYACUCHO"/>
    <x v="0"/>
    <s v="00. RECURSOS ORDINARIOS"/>
    <s v="5. GASTOS CORRIENTES"/>
    <s v="2. GASTOS PRESUPUESTARIOS"/>
    <x v="2"/>
    <s v=" 2. CONTRATACION DE SERVICIOS"/>
    <s v=" 4. SERVICIO DE MANTENIMIENTO, ACONDICIONAMIENTO Y  REPARACIONES"/>
    <s v=" 2. DE EDIFICACIONES, OFICINAS Y ESTRUCTURAS"/>
    <s v=" 1. DE EDIFICACIONES, OFICINAS Y ESTRUCTURAS"/>
    <s v="0 . RECURSOS ORDINARIOS"/>
    <n v="25000"/>
    <n v="0"/>
    <n v="25000"/>
    <n v="15200"/>
    <n v="15200"/>
    <n v="0"/>
    <n v="0"/>
    <n v="0"/>
    <n v="9800"/>
    <n v="0"/>
    <n v="0"/>
    <n v="5400"/>
    <n v="0"/>
    <n v="0"/>
    <n v="0"/>
    <n v="0"/>
    <n v="0"/>
    <n v="0"/>
    <n v="0"/>
    <n v="0"/>
    <n v="0"/>
    <n v="9800"/>
    <n v="0"/>
    <n v="5400"/>
    <n v="0"/>
    <n v="0"/>
    <n v="0"/>
    <n v="0"/>
    <n v="0"/>
    <n v="0"/>
    <n v="0"/>
    <n v="0"/>
    <n v="0"/>
    <n v="0"/>
    <n v="9800"/>
    <n v="0"/>
    <n v="0"/>
    <n v="0"/>
    <n v="0"/>
    <n v="0"/>
    <n v="0"/>
    <n v="0"/>
    <n v="0"/>
    <n v="0"/>
    <n v="0"/>
    <n v="0"/>
    <n v="9800"/>
    <n v="0"/>
    <n v="0"/>
    <n v="0"/>
    <n v="0"/>
    <n v="0"/>
    <n v="0"/>
    <x v="0"/>
    <x v="55"/>
    <x v="55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801."/>
    <s v="5.ACTIVIDAD"/>
    <s v="5006279. SERVICIO DE TRANSPORTE ASISTIDO DE LA EMERGENCIA Y URGENCIA"/>
    <s v="20. SALUD"/>
    <s v="044. SALUD INDIVIDUAL"/>
    <s v="0096. ATENCION MEDICA BASICA"/>
    <s v="00001"/>
    <s v="0289988. SERVICIO DE TRANSPORTE ASISTIDO DE LA EMERGENCIA Y URGENCIA"/>
    <s v="00006 - ATENCION"/>
    <n v="500"/>
    <n v="250"/>
    <n v="57"/>
    <n v="57"/>
    <x v="65"/>
    <s v="05. AYACUCHO"/>
    <s v="01. HUAMANGA"/>
    <s v="01. AYACUCHO"/>
    <x v="0"/>
    <s v="00. RECURSOS ORDINARIOS"/>
    <s v="5. GASTOS CORRIENTES"/>
    <s v="2. GASTOS PRESUPUESTARIOS"/>
    <x v="2"/>
    <s v=" 2. CONTRATACION DE SERVICIOS"/>
    <s v=" 4. SERVICIO DE MANTENIMIENTO, ACONDICIONAMIENTO Y  REPARACIONES"/>
    <s v=" 5. DE VEHICULOS"/>
    <s v=" 1. DE VEHICULOS"/>
    <s v="0 . RECURSOS ORDINARIOS"/>
    <n v="5000"/>
    <n v="0"/>
    <n v="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56"/>
    <x v="5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0"/>
    <s v="00. RECURSOS ORDINARIOS"/>
    <s v="5. GASTOS CORRIENTES"/>
    <s v="2. GASTOS PRESUPUESTARIOS"/>
    <x v="2"/>
    <s v=" 2. CONTRATACION DE SERVICIOS"/>
    <s v=" 4. SERVICIO DE MANTENIMIENTO, ACONDICIONAMIENTO Y  REPARACIONES"/>
    <s v=" 5. DE VEHICULOS"/>
    <s v=" 1. DE VEHICULOS"/>
    <s v="0 . RECURSOS ORDINARIOS"/>
    <n v="0"/>
    <n v="100000"/>
    <n v="100000"/>
    <n v="83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56"/>
    <x v="56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740."/>
    <s v="5.ACTIVIDAD"/>
    <s v="5005585. SEGURIDAD FISICO FUNCIONAL DE SERVICIOS PUBLICOS"/>
    <s v="20. SALUD"/>
    <s v="016. GESTION DE RIESGOS Y EMERGENCIAS"/>
    <s v="0035. PREVENCION DE DESASTRES"/>
    <s v="00001"/>
    <s v="0160801. SEGURIDAD FISICO FUNCIONAL DE SERVICIOS PUBLICOS"/>
    <s v="00065 - INTERVENCION"/>
    <n v="4"/>
    <n v="2"/>
    <n v="2"/>
    <n v="2"/>
    <x v="62"/>
    <s v="05. AYACUCHO"/>
    <s v="01. HUAMANGA"/>
    <s v="01. AYACUCHO"/>
    <x v="0"/>
    <s v="00. RECURSOS ORDINARIOS"/>
    <s v="5. GASTOS CORRIENTES"/>
    <s v="2. GASTOS PRESUPUESTARIOS"/>
    <x v="2"/>
    <s v=" 2. CONTRATACION DE SERVICIOS"/>
    <s v=" 4. SERVICIO DE MANTENIMIENTO, ACONDICIONAMIENTO Y  REPARACIONES"/>
    <s v=" 7. DE MAQUINARIAS Y EQUIPOS"/>
    <s v=" 1. DE MAQUINARIAS Y EQUIPOS"/>
    <s v="0 . RECURSOS ORDINARIOS"/>
    <n v="25000"/>
    <n v="0"/>
    <n v="25000"/>
    <n v="3229"/>
    <n v="3229"/>
    <n v="0"/>
    <n v="0"/>
    <n v="0"/>
    <n v="3229"/>
    <n v="0"/>
    <n v="0"/>
    <n v="0"/>
    <n v="0"/>
    <n v="0"/>
    <n v="0"/>
    <n v="0"/>
    <n v="0"/>
    <n v="0"/>
    <n v="0"/>
    <n v="0"/>
    <n v="3229"/>
    <n v="0"/>
    <n v="0"/>
    <n v="0"/>
    <n v="0"/>
    <n v="0"/>
    <n v="0"/>
    <n v="0"/>
    <n v="0"/>
    <n v="0"/>
    <n v="0"/>
    <n v="0"/>
    <n v="0"/>
    <n v="3229"/>
    <n v="0"/>
    <n v="0"/>
    <n v="0"/>
    <n v="0"/>
    <n v="0"/>
    <n v="0"/>
    <n v="0"/>
    <n v="0"/>
    <n v="0"/>
    <n v="0"/>
    <n v="0"/>
    <n v="2841.52"/>
    <n v="387.48"/>
    <n v="0"/>
    <n v="0"/>
    <n v="0"/>
    <n v="0"/>
    <n v="0"/>
    <n v="0"/>
    <x v="0"/>
    <x v="57"/>
    <x v="57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0"/>
    <s v="00. RECURSOS ORDINARIOS"/>
    <s v="5. GASTOS CORRIENTES"/>
    <s v="2. GASTOS PRESUPUESTARIOS"/>
    <x v="2"/>
    <s v=" 2. CONTRATACION DE SERVICIOS"/>
    <s v=" 4. SERVICIO DE MANTENIMIENTO, ACONDICIONAMIENTO Y  REPARACIONES"/>
    <s v=" 7. DE MAQUINARIAS Y EQUIPOS"/>
    <s v=" 1. DE MAQUINARIAS Y EQUIPOS"/>
    <s v="0 . RECURSOS ORDINARIOS"/>
    <n v="3435071"/>
    <n v="-100000"/>
    <n v="33350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57"/>
    <x v="57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0"/>
    <s v="00. RECURSOS ORDINARIOS"/>
    <s v="5. GASTOS CORRIENTES"/>
    <s v="2. GASTOS PRESUPUESTARIOS"/>
    <x v="2"/>
    <s v=" 2. CONTRATACION DE SERVICIOS"/>
    <s v=" 6. SERVICIOS ADMINISTRATIVOS, FINANCIEROS Y DE SEGUROS"/>
    <s v=" 1. SERVICIOS ADMINISTRATIVOS"/>
    <s v=" 2. GASTOS NOTARIALES"/>
    <s v="0 . RECURSOS ORDINARIOS"/>
    <n v="2000"/>
    <n v="0"/>
    <n v="2000"/>
    <n v="2000"/>
    <n v="2000"/>
    <n v="0"/>
    <n v="0"/>
    <n v="0"/>
    <n v="0"/>
    <n v="2000"/>
    <n v="0"/>
    <n v="0"/>
    <n v="0"/>
    <n v="0"/>
    <n v="0"/>
    <n v="0"/>
    <n v="0"/>
    <n v="0"/>
    <n v="0"/>
    <n v="0"/>
    <n v="0"/>
    <n v="0"/>
    <n v="2000"/>
    <n v="0"/>
    <n v="0"/>
    <n v="0"/>
    <n v="0"/>
    <n v="0"/>
    <n v="0"/>
    <n v="0"/>
    <n v="0"/>
    <n v="0"/>
    <n v="0"/>
    <n v="0"/>
    <n v="2000"/>
    <n v="0"/>
    <n v="0"/>
    <n v="0"/>
    <n v="0"/>
    <n v="0"/>
    <n v="0"/>
    <n v="0"/>
    <n v="0"/>
    <n v="0"/>
    <n v="0"/>
    <n v="0"/>
    <n v="2000"/>
    <n v="0"/>
    <n v="0"/>
    <n v="0"/>
    <n v="0"/>
    <n v="0"/>
    <n v="0"/>
    <x v="0"/>
    <x v="58"/>
    <x v="58"/>
    <x v="1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700."/>
    <s v="5.ACTIVIDAD"/>
    <s v="5005191. TRATAMIENTO CON INTERNAMIENTO DE PERSONAS CON TRASTORNOS AFECTIVOS Y DE ANSIEDAD"/>
    <s v="20. SALUD"/>
    <s v="044. SALUD INDIVIDUAL"/>
    <s v="0097. ATENCION MEDICA ESPECIALIZADA"/>
    <s v="00001"/>
    <s v="0136783. TRATAMIENTO CON INTERNAMIENTO DE PERSONAS CON TRASTORNOS AFECTIVOS Y DE ANSIEDAD"/>
    <s v="00394 - TECNICO"/>
    <n v="50"/>
    <n v="25"/>
    <n v="20"/>
    <n v="20"/>
    <x v="64"/>
    <s v="05. AYACUCHO"/>
    <s v="01. HUAMANGA"/>
    <s v="01. AYACUCHO"/>
    <x v="0"/>
    <s v="00. RECURSOS ORDINARIOS"/>
    <s v="5. GASTOS CORRIENTES"/>
    <s v="2. GASTOS PRESUPUESTARIOS"/>
    <x v="2"/>
    <s v=" 2. CONTRATACION DE SERVICIOS"/>
    <s v=" 6. SERVICIOS ADMINISTRATIVOS, FINANCIEROS Y DE SEGUROS"/>
    <s v=" 3. SEGUROS"/>
    <s v=" 4. OTROS SEGUROS PERSONALES"/>
    <s v="0 . RECURSOS ORDINARIOS"/>
    <n v="0"/>
    <n v="5760"/>
    <n v="5760"/>
    <n v="5760"/>
    <n v="5760"/>
    <n v="0"/>
    <n v="0"/>
    <n v="0"/>
    <n v="0"/>
    <n v="0"/>
    <n v="1819"/>
    <n v="0"/>
    <n v="0"/>
    <n v="0"/>
    <n v="0"/>
    <n v="0"/>
    <n v="0"/>
    <n v="0"/>
    <n v="0"/>
    <n v="0"/>
    <n v="0"/>
    <n v="0"/>
    <n v="1819"/>
    <n v="0"/>
    <n v="0"/>
    <n v="0"/>
    <n v="0"/>
    <n v="0"/>
    <n v="0"/>
    <n v="0"/>
    <n v="0"/>
    <n v="0"/>
    <n v="0"/>
    <n v="0"/>
    <n v="0"/>
    <n v="1285.29"/>
    <n v="0"/>
    <n v="0"/>
    <n v="0"/>
    <n v="0"/>
    <n v="0"/>
    <n v="0"/>
    <n v="0"/>
    <n v="0"/>
    <n v="0"/>
    <n v="0"/>
    <n v="0"/>
    <n v="1285.29"/>
    <n v="0"/>
    <n v="0"/>
    <n v="0"/>
    <n v="0"/>
    <n v="0"/>
    <x v="0"/>
    <x v="59"/>
    <x v="5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5. GESTION DE RECURSOS HUMANOS"/>
    <s v="20. SALUD"/>
    <s v="006. GESTION"/>
    <s v="0011. PREPARACION Y PERFECCIONAMIENTO DE RECURSOS HUMANOS"/>
    <s v="00001"/>
    <s v="0053571. GESTION DE RECURSOS HUMANOS"/>
    <s v="00001 - ACCION"/>
    <n v="2426"/>
    <n v="1213"/>
    <n v="124"/>
    <n v="124"/>
    <x v="3"/>
    <s v="05. AYACUCHO"/>
    <s v="01. HUAMANGA"/>
    <s v="01. AYACUCHO"/>
    <x v="0"/>
    <s v="00. RECURSOS ORDINARIOS"/>
    <s v="5. GASTOS CORRIENTES"/>
    <s v="2. GASTOS PRESUPUESTARIOS"/>
    <x v="2"/>
    <s v=" 2. CONTRATACION DE SERVICIOS"/>
    <s v=" 6. SERVICIOS ADMINISTRATIVOS, FINANCIEROS Y DE SEGUROS"/>
    <s v=" 3. SEGUROS"/>
    <s v=" 4. OTROS SEGUROS PERSONALES"/>
    <s v="0 . RECURSOS ORDINARIOS"/>
    <n v="65831"/>
    <n v="0"/>
    <n v="65831"/>
    <n v="65831"/>
    <n v="65831"/>
    <n v="0"/>
    <n v="0"/>
    <n v="2009"/>
    <n v="0"/>
    <n v="42857.95"/>
    <n v="19256"/>
    <n v="0"/>
    <n v="0"/>
    <n v="0"/>
    <n v="0"/>
    <n v="0"/>
    <n v="0"/>
    <n v="0"/>
    <n v="0"/>
    <n v="2009"/>
    <n v="0"/>
    <n v="42857.95"/>
    <n v="19256"/>
    <n v="0"/>
    <n v="0"/>
    <n v="0"/>
    <n v="0"/>
    <n v="0"/>
    <n v="0"/>
    <n v="0"/>
    <n v="0"/>
    <n v="0"/>
    <n v="1655"/>
    <n v="17964.990000000002"/>
    <n v="24892.959999999999"/>
    <n v="19256"/>
    <n v="0"/>
    <n v="0"/>
    <n v="0"/>
    <n v="0"/>
    <n v="0"/>
    <n v="0"/>
    <n v="0"/>
    <n v="0"/>
    <n v="1655"/>
    <n v="17964.990000000002"/>
    <n v="24892.959999999999"/>
    <n v="19256"/>
    <n v="0"/>
    <n v="0"/>
    <n v="0"/>
    <n v="0"/>
    <n v="0"/>
    <x v="0"/>
    <x v="59"/>
    <x v="59"/>
    <x v="1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2768"/>
    <n v="1384"/>
    <n v="1400"/>
    <n v="1400"/>
    <x v="48"/>
    <s v="05. AYACUCHO"/>
    <s v="01. HUAMANGA"/>
    <s v="01. AYACUCHO"/>
    <x v="0"/>
    <s v="00. RECURSOS ORDINARIOS"/>
    <s v="5. GASTOS CORRIENTES"/>
    <s v="2. GASTOS PRESUPUESTARIOS"/>
    <x v="2"/>
    <s v=" 2. CONTRATACION DE SERVICIOS"/>
    <s v=" 6. SERVICIOS ADMINISTRATIVOS, FINANCIEROS Y DE SEGUROS"/>
    <s v=" 3. SEGUROS"/>
    <s v=" 4. OTROS SEGUROS PERSONALES"/>
    <s v="0 . RECURSOS ORDINARIOS"/>
    <n v="27467"/>
    <n v="7991"/>
    <n v="35458"/>
    <n v="35458"/>
    <n v="35458"/>
    <n v="0"/>
    <n v="0"/>
    <n v="6418"/>
    <n v="22"/>
    <n v="29018"/>
    <n v="0"/>
    <n v="0"/>
    <n v="0"/>
    <n v="0"/>
    <n v="0"/>
    <n v="0"/>
    <n v="0"/>
    <n v="0"/>
    <n v="0"/>
    <n v="6418"/>
    <n v="22"/>
    <n v="29018"/>
    <n v="-265.73"/>
    <n v="0"/>
    <n v="0"/>
    <n v="0"/>
    <n v="0"/>
    <n v="0"/>
    <n v="0"/>
    <n v="0"/>
    <n v="0"/>
    <n v="0"/>
    <n v="6440"/>
    <n v="17755.5"/>
    <n v="10996.77"/>
    <n v="0"/>
    <n v="0"/>
    <n v="0"/>
    <n v="0"/>
    <n v="0"/>
    <n v="0"/>
    <n v="0"/>
    <n v="0"/>
    <n v="0"/>
    <n v="6440"/>
    <n v="17755.5"/>
    <n v="10996.77"/>
    <n v="0"/>
    <n v="0"/>
    <n v="0"/>
    <n v="0"/>
    <n v="0"/>
    <n v="0"/>
    <x v="0"/>
    <x v="59"/>
    <x v="59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10. ATENCION ESPECIALIZADA DE LA SALUD"/>
    <s v="20. SALUD"/>
    <s v="044. SALUD INDIVIDUAL"/>
    <s v="0097. ATENCION MEDICA ESPECIALIZADA"/>
    <s v="00001"/>
    <s v="0023484. ATENCION MEDICA ESPECIALIZADA"/>
    <s v="00006 - ATENCION"/>
    <n v="150000"/>
    <n v="75000"/>
    <n v="26347"/>
    <n v="26347"/>
    <x v="34"/>
    <s v="05. AYACUCHO"/>
    <s v="01. HUAMANGA"/>
    <s v="01. AYACUCHO"/>
    <x v="0"/>
    <s v="00. RECURSOS ORDINARIOS"/>
    <s v="5. GASTOS CORRIENTES"/>
    <s v="2. GASTOS PRESUPUESTARIOS"/>
    <x v="2"/>
    <s v=" 2. CONTRATACION DE SERVICIOS"/>
    <s v=" 7. SERVICIOS PROFESIONALES Y TECNICOS"/>
    <s v=" 2. SERVICIOS DE CONSULTORIAS Y SIMILARES DESARROLLADOS POR PERSONAS NATURALES"/>
    <s v=" 7. SERVICIOS COMPLEMENTARIOS DE SALUD"/>
    <s v="0 . RECURSOS ORDINARIOS"/>
    <n v="0"/>
    <n v="119520"/>
    <n v="119520"/>
    <n v="119520"/>
    <n v="119520"/>
    <n v="0"/>
    <n v="0"/>
    <n v="0"/>
    <n v="119520"/>
    <n v="0"/>
    <n v="0"/>
    <n v="0"/>
    <n v="0"/>
    <n v="0"/>
    <n v="0"/>
    <n v="0"/>
    <n v="0"/>
    <n v="0"/>
    <n v="0"/>
    <n v="0"/>
    <n v="119520"/>
    <n v="0"/>
    <n v="0"/>
    <n v="0"/>
    <n v="0"/>
    <n v="0"/>
    <n v="0"/>
    <n v="0"/>
    <n v="0"/>
    <n v="0"/>
    <n v="0"/>
    <n v="0"/>
    <n v="0"/>
    <n v="119520"/>
    <n v="0"/>
    <n v="0"/>
    <n v="0"/>
    <n v="0"/>
    <n v="0"/>
    <n v="0"/>
    <n v="0"/>
    <n v="0"/>
    <n v="0"/>
    <n v="0"/>
    <n v="0"/>
    <n v="119520"/>
    <n v="0"/>
    <n v="0"/>
    <n v="0"/>
    <n v="0"/>
    <n v="0"/>
    <n v="0"/>
    <n v="0"/>
    <x v="0"/>
    <x v="60"/>
    <x v="60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2768"/>
    <n v="1384"/>
    <n v="1400"/>
    <n v="1400"/>
    <x v="48"/>
    <s v="05. AYACUCHO"/>
    <s v="01. HUAMANGA"/>
    <s v="01. AYACUCHO"/>
    <x v="0"/>
    <s v="00. RECURSOS ORDINARIOS"/>
    <s v="5. GASTOS CORRIENTES"/>
    <s v="2. GASTOS PRESUPUESTARIOS"/>
    <x v="2"/>
    <s v=" 2. CONTRATACION DE SERVICIOS"/>
    <s v=" 7. SERVICIOS PROFESIONALES Y TECNICOS"/>
    <s v=" 2. SERVICIOS DE CONSULTORIAS Y SIMILARES DESARROLLADOS POR PERSONAS NATURALES"/>
    <s v=" 7. SERVICIOS COMPLEMENTARIOS DE SALUD"/>
    <s v="0 . RECURSOS ORDINARIOS"/>
    <n v="0"/>
    <n v="1527317"/>
    <n v="1527317"/>
    <n v="1023632"/>
    <n v="1023632"/>
    <n v="0"/>
    <n v="0"/>
    <n v="0"/>
    <n v="160050"/>
    <n v="0"/>
    <n v="0"/>
    <n v="127614"/>
    <n v="0"/>
    <n v="0"/>
    <n v="0"/>
    <n v="0"/>
    <n v="0"/>
    <n v="0"/>
    <n v="0"/>
    <n v="0"/>
    <n v="160050"/>
    <n v="0"/>
    <n v="0"/>
    <n v="127614"/>
    <n v="0"/>
    <n v="0"/>
    <n v="0"/>
    <n v="0"/>
    <n v="0"/>
    <n v="0"/>
    <n v="0"/>
    <n v="0"/>
    <n v="119790"/>
    <n v="40260"/>
    <n v="0"/>
    <n v="93330"/>
    <n v="0"/>
    <n v="0"/>
    <n v="0"/>
    <n v="0"/>
    <n v="0"/>
    <n v="0"/>
    <n v="0"/>
    <n v="0"/>
    <n v="119790"/>
    <n v="40260"/>
    <n v="0"/>
    <n v="93330"/>
    <n v="0"/>
    <n v="0"/>
    <n v="0"/>
    <n v="0"/>
    <n v="0"/>
    <x v="0"/>
    <x v="60"/>
    <x v="60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001."/>
    <s v="5.ACTIVIDAD"/>
    <s v="5005139. ASISTENCIA TECNICA Y CAPACITACION"/>
    <s v="20. SALUD"/>
    <s v="004. PLANEAMIENTO GUBERNAMENTAL"/>
    <s v="0005. PLANEAMIENTO INSTITUCIONAL"/>
    <s v="00001"/>
    <s v="0136008. ASISTENCIA TECNICA Y CAPACITACION"/>
    <s v="00086 - PERSONA"/>
    <n v="100"/>
    <n v="50"/>
    <n v="48"/>
    <n v="48"/>
    <x v="79"/>
    <s v="05. AYACUCHO"/>
    <s v="01. HUAMANGA"/>
    <s v="01. AYACUCHO"/>
    <x v="0"/>
    <s v="00. RECURSOS ORDINARIOS"/>
    <s v="5. GASTOS CORRIENTES"/>
    <s v="2. GASTOS PRESUPUESTARIOS"/>
    <x v="2"/>
    <s v=" 2. CONTRATACION DE SERVICIOS"/>
    <s v=" 7. SERVICIOS PROFESIONALES Y TECNICOS"/>
    <s v=" 3. SERVICIO DE CAPACITACION Y PERFECCIONAMIENTO"/>
    <s v=" 1. REALIZADO POR PERSONAS JURIDICAS"/>
    <s v="0 . RECURSOS ORDINARIOS"/>
    <n v="3000"/>
    <n v="0"/>
    <n v="3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61"/>
    <x v="61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1. PLANEAMIENTO Y PRESUPUESTO"/>
    <s v="20. SALUD"/>
    <s v="004. PLANEAMIENTO GUBERNAMENTAL"/>
    <s v="0005. PLANEAMIENTO INSTITUCIONAL"/>
    <s v="00001"/>
    <s v="0001179. PLANEAMIENTO Y PRESUPUESTO"/>
    <s v="00001 - ACCION"/>
    <n v="12"/>
    <n v="6"/>
    <n v="5"/>
    <n v="5"/>
    <x v="1"/>
    <s v="05. AYACUCHO"/>
    <s v="01. HUAMANGA"/>
    <s v="01. AYACUCHO"/>
    <x v="0"/>
    <s v="00. RECURSOS ORDINARIOS"/>
    <s v="5. GASTOS CORRIENTES"/>
    <s v="2. GASTOS PRESUPUESTARIOS"/>
    <x v="2"/>
    <s v=" 2. CONTRATACION DE SERVICIOS"/>
    <s v=" 7. SERVICIOS PROFESIONALES Y TECNICOS"/>
    <s v=" 3. SERVICIO DE CAPACITACION Y PERFECCIONAMIENTO"/>
    <s v=" 1. REALIZADO POR PERSONAS JURIDICAS"/>
    <s v="0 . RECURSOS ORDINARIOS"/>
    <n v="3000"/>
    <n v="0"/>
    <n v="3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61"/>
    <x v="61"/>
    <x v="1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0"/>
    <s v="00. RECURSOS ORDINARIOS"/>
    <s v="5. GASTOS CORRIENTES"/>
    <s v="2. GASTOS PRESUPUESTARIOS"/>
    <x v="2"/>
    <s v=" 2. CONTRATACION DE SERVICIOS"/>
    <s v=" 7. SERVICIOS PROFESIONALES Y TECNICOS"/>
    <s v=" 5. PRACTICANTES, SECIGRISTAS Y SIMILARES"/>
    <s v=" 7. INTERNOS DE MEDICINA Y ODONTOLOGIA"/>
    <s v="0 . RECURSOS ORDINARIOS"/>
    <n v="105000"/>
    <n v="-65222"/>
    <n v="397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62"/>
    <x v="62"/>
    <x v="1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10. ATENCION ESPECIALIZADA DE LA SALUD"/>
    <s v="20. SALUD"/>
    <s v="044. SALUD INDIVIDUAL"/>
    <s v="0097. ATENCION MEDICA ESPECIALIZADA"/>
    <s v="00001"/>
    <s v="0023484. ATENCION MEDICA ESPECIALIZADA"/>
    <s v="00006 - ATENCION"/>
    <n v="150000"/>
    <n v="75000"/>
    <n v="26347"/>
    <n v="26347"/>
    <x v="34"/>
    <s v="05. AYACUCHO"/>
    <s v="01. HUAMANGA"/>
    <s v="01. AYACUCHO"/>
    <x v="0"/>
    <s v="00. RECURSOS ORDINARIOS"/>
    <s v="5. GASTOS CORRIENTES"/>
    <s v="2. GASTOS PRESUPUESTARIOS"/>
    <x v="2"/>
    <s v=" 2. CONTRATACION DE SERVICIOS"/>
    <s v=" 7. SERVICIOS PROFESIONALES Y TECNICOS"/>
    <s v=" 7. SERVICIOS RELACIONADOS CON EL MEDIO AMBIENTE REALIZADO POR PERSONAS JURÍDICAS"/>
    <s v=" 1. SERVICIOS RELACIONADOS CON EL MEDIO AMBIENTE"/>
    <s v="0 . RECURSOS ORDINARIOS"/>
    <n v="0"/>
    <n v="24598"/>
    <n v="24598"/>
    <n v="23735.7"/>
    <n v="16301.7"/>
    <n v="0"/>
    <n v="0"/>
    <n v="0"/>
    <n v="16301.7"/>
    <n v="0"/>
    <n v="-16301.7"/>
    <n v="5327.7"/>
    <n v="0"/>
    <n v="0"/>
    <n v="0"/>
    <n v="0"/>
    <n v="0"/>
    <n v="0"/>
    <n v="0"/>
    <n v="0"/>
    <n v="0"/>
    <n v="0"/>
    <n v="0"/>
    <n v="5327.7"/>
    <n v="0"/>
    <n v="0"/>
    <n v="0"/>
    <n v="0"/>
    <n v="0"/>
    <n v="0"/>
    <n v="0"/>
    <n v="0"/>
    <n v="0"/>
    <n v="0"/>
    <n v="0"/>
    <n v="5327.7"/>
    <n v="0"/>
    <n v="0"/>
    <n v="0"/>
    <n v="0"/>
    <n v="0"/>
    <n v="0"/>
    <n v="0"/>
    <n v="0"/>
    <n v="0"/>
    <n v="0"/>
    <n v="0"/>
    <n v="5327.7"/>
    <n v="0"/>
    <n v="0"/>
    <n v="0"/>
    <n v="0"/>
    <n v="0"/>
    <x v="0"/>
    <x v="63"/>
    <x v="63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286. VIGILANCIA Y CONTROL EPIDEMIOLOGICO"/>
    <s v="20. SALUD"/>
    <s v="043. SALUD COLECTIVA"/>
    <s v="0093. REGULACION Y CONTROL SANITARIO"/>
    <s v="00001"/>
    <s v="0000281. ATENCION SANITARIA"/>
    <s v="00001 - ACCION"/>
    <n v="10"/>
    <n v="0"/>
    <n v="4"/>
    <n v="4"/>
    <x v="93"/>
    <s v="05. AYACUCHO"/>
    <s v="01. HUAMANGA"/>
    <s v="01. AYACUCHO"/>
    <x v="0"/>
    <s v="00. RECURSOS ORDINARIOS"/>
    <s v="5. GASTOS CORRIENTES"/>
    <s v="2. GASTOS PRESUPUESTARIOS"/>
    <x v="2"/>
    <s v=" 2. CONTRATACION DE SERVICIOS"/>
    <s v=" 7. SERVICIOS PROFESIONALES Y TECNICOS"/>
    <s v="11. OTROS SERVICIOS"/>
    <s v=" 2. TRANSPORTE Y TRASLADO DE CARGA, BIENES Y MATERIALES"/>
    <s v="0 . RECURSOS ORDINARIOS"/>
    <n v="25000"/>
    <n v="-2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64"/>
    <x v="64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0"/>
    <s v="00. RECURSOS ORDINARIOS"/>
    <s v="5. GASTOS CORRIENTES"/>
    <s v="2. GASTOS PRESUPUESTARIOS"/>
    <x v="2"/>
    <s v=" 2. CONTRATACION DE SERVICIOS"/>
    <s v=" 7. SERVICIOS PROFESIONALES Y TECNICOS"/>
    <s v="11. OTROS SERVICIOS"/>
    <s v=" 2. TRANSPORTE Y TRASLADO DE CARGA, BIENES Y MATERIALES"/>
    <s v="0 . RECURSOS ORDINARIOS"/>
    <n v="426237"/>
    <n v="0"/>
    <n v="426237"/>
    <n v="331520"/>
    <n v="331520"/>
    <n v="0"/>
    <n v="0"/>
    <n v="0"/>
    <n v="76160"/>
    <n v="0"/>
    <n v="0"/>
    <n v="116537.16"/>
    <n v="0"/>
    <n v="0"/>
    <n v="0"/>
    <n v="0"/>
    <n v="0"/>
    <n v="0"/>
    <n v="0"/>
    <n v="0"/>
    <n v="0"/>
    <n v="76160"/>
    <n v="0"/>
    <n v="0"/>
    <n v="0"/>
    <n v="0"/>
    <n v="0"/>
    <n v="0"/>
    <n v="0"/>
    <n v="0"/>
    <n v="0"/>
    <n v="0"/>
    <n v="0"/>
    <n v="76160"/>
    <n v="0"/>
    <n v="0"/>
    <n v="0"/>
    <n v="0"/>
    <n v="0"/>
    <n v="0"/>
    <n v="0"/>
    <n v="0"/>
    <n v="0"/>
    <n v="0"/>
    <n v="0"/>
    <n v="76160"/>
    <n v="0"/>
    <n v="0"/>
    <n v="0"/>
    <n v="0"/>
    <n v="0"/>
    <n v="0"/>
    <n v="0"/>
    <x v="0"/>
    <x v="64"/>
    <x v="64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001."/>
    <s v="5.ACTIVIDAD"/>
    <s v="5004433. MONITOREO, SUPERVISION, EVALUACION Y CONTROL DE VIH/SIDA - TUBERCULOSIS"/>
    <s v="20. SALUD"/>
    <s v="004. PLANEAMIENTO GUBERNAMENTAL"/>
    <s v="0005. PLANEAMIENTO INSTITUCIONAL"/>
    <s v="00001"/>
    <s v="0043950. MONITOREO, SUPERVISION, EVALUACION Y CONTROL DE VIH SIDA - TUBERCULOSIS"/>
    <s v="00060 - INFORME"/>
    <n v="4"/>
    <n v="2"/>
    <n v="2"/>
    <n v="2"/>
    <x v="71"/>
    <s v="05. AYACUCHO"/>
    <s v="01. HUAMANGA"/>
    <s v="01. AYACUCHO"/>
    <x v="0"/>
    <s v="00. RECURSOS ORDINARIOS"/>
    <s v="5. GASTOS CORRIENTES"/>
    <s v="2. GASTOS PRESUPUESTARIOS"/>
    <x v="2"/>
    <s v=" 2. CONTRATACION DE SERVICIOS"/>
    <s v=" 7. SERVICIOS PROFESIONALES Y TECNICOS"/>
    <s v="11. OTROS SERVICIOS"/>
    <s v=" 5. SERVICIOS DE ALIMENTACION DE CONSUMO HUMANO"/>
    <s v="0 . RECURSOS ORDINARIOS"/>
    <n v="2500"/>
    <n v="0"/>
    <n v="2500"/>
    <n v="2270"/>
    <n v="2270"/>
    <n v="0"/>
    <n v="740"/>
    <n v="0"/>
    <n v="900"/>
    <n v="0"/>
    <n v="0"/>
    <n v="630"/>
    <n v="0"/>
    <n v="0"/>
    <n v="0"/>
    <n v="0"/>
    <n v="0"/>
    <n v="0"/>
    <n v="0"/>
    <n v="0"/>
    <n v="740"/>
    <n v="0"/>
    <n v="900"/>
    <n v="0"/>
    <n v="0"/>
    <n v="0"/>
    <n v="0"/>
    <n v="0"/>
    <n v="0"/>
    <n v="0"/>
    <n v="0"/>
    <n v="0"/>
    <n v="0"/>
    <n v="0"/>
    <n v="1640"/>
    <n v="-89"/>
    <n v="0"/>
    <n v="0"/>
    <n v="0"/>
    <n v="0"/>
    <n v="0"/>
    <n v="0"/>
    <n v="0"/>
    <n v="0"/>
    <n v="0"/>
    <n v="0"/>
    <n v="1551"/>
    <n v="0"/>
    <n v="0"/>
    <n v="0"/>
    <n v="0"/>
    <n v="0"/>
    <n v="0"/>
    <x v="0"/>
    <x v="65"/>
    <x v="65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738."/>
    <s v="5.ACTIVIDAD"/>
    <s v="5005580. FORMACION Y CAPACITACION EN MATERIA DE GESTION DE RIESGO DE DESASTRES Y ADAPTACION AL CAMBIO CLIMATICO"/>
    <s v="20. SALUD"/>
    <s v="016. GESTION DE RIESGOS Y EMERGENCIAS"/>
    <s v="0035. PREVENCION DE DESASTRES"/>
    <s v="00001"/>
    <s v="0160796. FORMACION Y CAPACITACION EN MATERIA DE GESTION DE RIESGO DE DESASTRES"/>
    <s v="00086 - PERSONA"/>
    <n v="150"/>
    <n v="75"/>
    <n v="109"/>
    <n v="109"/>
    <x v="58"/>
    <s v="05. AYACUCHO"/>
    <s v="01. HUAMANGA"/>
    <s v="01. AYACUCHO"/>
    <x v="0"/>
    <s v="00. RECURSOS ORDINARIOS"/>
    <s v="5. GASTOS CORRIENTES"/>
    <s v="2. GASTOS PRESUPUESTARIOS"/>
    <x v="2"/>
    <s v=" 2. CONTRATACION DE SERVICIOS"/>
    <s v=" 7. SERVICIOS PROFESIONALES Y TECNICOS"/>
    <s v="11. OTROS SERVICIOS"/>
    <s v=" 5. SERVICIOS DE ALIMENTACION DE CONSUMO HUMANO"/>
    <s v="0 . RECURSOS ORDINARIOS"/>
    <n v="3000"/>
    <n v="0"/>
    <n v="3000"/>
    <n v="2075"/>
    <n v="2075"/>
    <n v="0"/>
    <n v="0"/>
    <n v="0"/>
    <n v="0"/>
    <n v="900"/>
    <n v="375"/>
    <n v="800"/>
    <n v="0"/>
    <n v="0"/>
    <n v="0"/>
    <n v="0"/>
    <n v="0"/>
    <n v="0"/>
    <n v="0"/>
    <n v="0"/>
    <n v="0"/>
    <n v="0"/>
    <n v="1275"/>
    <n v="800"/>
    <n v="0"/>
    <n v="0"/>
    <n v="0"/>
    <n v="0"/>
    <n v="0"/>
    <n v="0"/>
    <n v="0"/>
    <n v="0"/>
    <n v="0"/>
    <n v="0"/>
    <n v="900"/>
    <n v="1175"/>
    <n v="0"/>
    <n v="0"/>
    <n v="0"/>
    <n v="0"/>
    <n v="0"/>
    <n v="0"/>
    <n v="0"/>
    <n v="0"/>
    <n v="0"/>
    <n v="0"/>
    <n v="900"/>
    <n v="1175"/>
    <n v="0"/>
    <n v="0"/>
    <n v="0"/>
    <n v="0"/>
    <n v="0"/>
    <x v="0"/>
    <x v="65"/>
    <x v="65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0"/>
    <s v="00. RECURSOS ORDINARIOS"/>
    <s v="5. GASTOS CORRIENTES"/>
    <s v="2. GASTOS PRESUPUESTARIOS"/>
    <x v="2"/>
    <s v=" 2. CONTRATACION DE SERVICIOS"/>
    <s v=" 7. SERVICIOS PROFESIONALES Y TECNICOS"/>
    <s v="11. OTROS SERVICIOS"/>
    <s v=" 5. SERVICIOS DE ALIMENTACION DE CONSUMO HUMANO"/>
    <s v="0 . RECURSOS ORDINARIOS"/>
    <n v="1300000"/>
    <n v="0"/>
    <n v="1300000"/>
    <n v="1106333"/>
    <n v="1106333"/>
    <n v="0"/>
    <n v="0"/>
    <n v="0"/>
    <n v="0"/>
    <n v="0"/>
    <n v="286075.5"/>
    <n v="102160"/>
    <n v="0"/>
    <n v="0"/>
    <n v="0"/>
    <n v="0"/>
    <n v="0"/>
    <n v="0"/>
    <n v="0"/>
    <n v="0"/>
    <n v="0"/>
    <n v="0"/>
    <n v="286075.5"/>
    <n v="0"/>
    <n v="0"/>
    <n v="0"/>
    <n v="0"/>
    <n v="0"/>
    <n v="0"/>
    <n v="0"/>
    <n v="0"/>
    <n v="0"/>
    <n v="0"/>
    <n v="0"/>
    <n v="148054"/>
    <n v="138021.5"/>
    <n v="0"/>
    <n v="0"/>
    <n v="0"/>
    <n v="0"/>
    <n v="0"/>
    <n v="0"/>
    <n v="0"/>
    <n v="0"/>
    <n v="0"/>
    <n v="0"/>
    <n v="148054"/>
    <n v="138021.5"/>
    <n v="0"/>
    <n v="0"/>
    <n v="0"/>
    <n v="0"/>
    <n v="0"/>
    <x v="0"/>
    <x v="65"/>
    <x v="65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001."/>
    <s v="5.ACTIVIDAD"/>
    <s v="5004426. MONITOREO, SUPERVISION, EVALUACION Y CONTROL DEL PROGRAMA ARTICULADO NUTRICIONAL"/>
    <s v="20. SALUD"/>
    <s v="004. PLANEAMIENTO GUBERNAMENTAL"/>
    <s v="0005. PLANEAMIENTO INSTITUCIONAL"/>
    <s v="00001"/>
    <s v="0044276. MONITOREO, SUPERVISION, EVALUACION Y CONTROL DEL PROGRAMA ARTICULADO NUTRICIONAL"/>
    <s v="00060 - INFORME"/>
    <n v="4"/>
    <n v="2"/>
    <n v="2"/>
    <n v="2"/>
    <x v="51"/>
    <s v="05. AYACUCHO"/>
    <s v="01. HUAMANGA"/>
    <s v="01. AYACUCHO"/>
    <x v="0"/>
    <s v="00. RECURSOS ORDINARIOS"/>
    <s v="5. GASTOS CORRIENTES"/>
    <s v="2. GASTOS PRESUPUESTARIOS"/>
    <x v="2"/>
    <s v=" 2. CONTRATACION DE SERVICIOS"/>
    <s v=" 7. SERVICIOS PROFESIONALES Y TECNICOS"/>
    <s v="11. OTROS SERVICIOS"/>
    <s v=" 6. SERVICIO DE IMPRESIONES, ENCUADERNACION Y EMPASTADO"/>
    <s v="0 . RECURSOS ORDINARIOS"/>
    <n v="500"/>
    <n v="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66"/>
    <x v="6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001."/>
    <s v="5.ACTIVIDAD"/>
    <s v="5004433. MONITOREO, SUPERVISION, EVALUACION Y CONTROL DE VIH/SIDA - TUBERCULOSIS"/>
    <s v="20. SALUD"/>
    <s v="004. PLANEAMIENTO GUBERNAMENTAL"/>
    <s v="0005. PLANEAMIENTO INSTITUCIONAL"/>
    <s v="00001"/>
    <s v="0043950. MONITOREO, SUPERVISION, EVALUACION Y CONTROL DE VIH SIDA - TUBERCULOSIS"/>
    <s v="00060 - INFORME"/>
    <n v="4"/>
    <n v="2"/>
    <n v="2"/>
    <n v="2"/>
    <x v="71"/>
    <s v="05. AYACUCHO"/>
    <s v="01. HUAMANGA"/>
    <s v="01. AYACUCHO"/>
    <x v="0"/>
    <s v="00. RECURSOS ORDINARIOS"/>
    <s v="5. GASTOS CORRIENTES"/>
    <s v="2. GASTOS PRESUPUESTARIOS"/>
    <x v="2"/>
    <s v=" 2. CONTRATACION DE SERVICIOS"/>
    <s v=" 7. SERVICIOS PROFESIONALES Y TECNICOS"/>
    <s v="11. OTROS SERVICIOS"/>
    <s v=" 6. SERVICIO DE IMPRESIONES, ENCUADERNACION Y EMPASTADO"/>
    <s v="0 . RECURSOS ORDINARIOS"/>
    <n v="500"/>
    <n v="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66"/>
    <x v="66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0"/>
    <s v="00. RECURSOS ORDINARIOS"/>
    <s v="5. GASTOS CORRIENTES"/>
    <s v="2. GASTOS PRESUPUESTARIOS"/>
    <x v="2"/>
    <s v=" 2. CONTRATACION DE SERVICIOS"/>
    <s v=" 7. SERVICIOS PROFESIONALES Y TECNICOS"/>
    <s v="11. OTROS SERVICIOS"/>
    <s v=" 6. SERVICIO DE IMPRESIONES, ENCUADERNACION Y EMPASTADO"/>
    <s v="0 . RECURSOS ORDINARIOS"/>
    <n v="10000"/>
    <n v="0"/>
    <n v="10000"/>
    <n v="7944.6"/>
    <n v="7944.6"/>
    <n v="0"/>
    <n v="0"/>
    <n v="0"/>
    <n v="0"/>
    <n v="0"/>
    <n v="0"/>
    <n v="7944.6"/>
    <n v="0"/>
    <n v="0"/>
    <n v="0"/>
    <n v="0"/>
    <n v="0"/>
    <n v="0"/>
    <n v="0"/>
    <n v="0"/>
    <n v="0"/>
    <n v="0"/>
    <n v="0"/>
    <n v="7944.6"/>
    <n v="0"/>
    <n v="0"/>
    <n v="0"/>
    <n v="0"/>
    <n v="0"/>
    <n v="0"/>
    <n v="0"/>
    <n v="0"/>
    <n v="0"/>
    <n v="0"/>
    <n v="0"/>
    <n v="7944.6"/>
    <n v="0"/>
    <n v="0"/>
    <n v="0"/>
    <n v="0"/>
    <n v="0"/>
    <n v="0"/>
    <n v="0"/>
    <n v="0"/>
    <n v="0"/>
    <n v="0"/>
    <n v="0"/>
    <n v="7944.6"/>
    <n v="0"/>
    <n v="0"/>
    <n v="0"/>
    <n v="0"/>
    <n v="0"/>
    <x v="0"/>
    <x v="66"/>
    <x v="66"/>
    <x v="1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1. PLANEAMIENTO Y PRESUPUESTO"/>
    <s v="20. SALUD"/>
    <s v="004. PLANEAMIENTO GUBERNAMENTAL"/>
    <s v="0005. PLANEAMIENTO INSTITUCIONAL"/>
    <s v="00001"/>
    <s v="0001179. PLANEAMIENTO Y PRESUPUESTO"/>
    <s v="00001 - ACCION"/>
    <n v="12"/>
    <n v="6"/>
    <n v="5"/>
    <n v="5"/>
    <x v="1"/>
    <s v="05. AYACUCHO"/>
    <s v="01. HUAMANGA"/>
    <s v="01. AYACUCHO"/>
    <x v="0"/>
    <s v="00. RECURSOS ORDINARIOS"/>
    <s v="5. GASTOS CORRIENTES"/>
    <s v="2. GASTOS PRESUPUESTARIOS"/>
    <x v="2"/>
    <s v=" 2. CONTRATACION DE SERVICIOS"/>
    <s v=" 7. SERVICIOS PROFESIONALES Y TECNICOS"/>
    <s v="11. OTROS SERVICIOS"/>
    <s v="99. SERVICIOS DIVERSOS"/>
    <s v="0 . RECURSOS ORDINARIOS"/>
    <n v="5000"/>
    <n v="0"/>
    <n v="5000"/>
    <n v="3800"/>
    <n v="3800"/>
    <n v="0"/>
    <n v="0"/>
    <n v="0"/>
    <n v="3800"/>
    <n v="0"/>
    <n v="0"/>
    <n v="0"/>
    <n v="0"/>
    <n v="0"/>
    <n v="0"/>
    <n v="0"/>
    <n v="0"/>
    <n v="0"/>
    <n v="0"/>
    <n v="0"/>
    <n v="3800"/>
    <n v="0"/>
    <n v="0"/>
    <n v="0"/>
    <n v="0"/>
    <n v="0"/>
    <n v="0"/>
    <n v="0"/>
    <n v="0"/>
    <n v="0"/>
    <n v="0"/>
    <n v="0"/>
    <n v="0"/>
    <n v="3800"/>
    <n v="0"/>
    <n v="0"/>
    <n v="0"/>
    <n v="0"/>
    <n v="0"/>
    <n v="0"/>
    <n v="0"/>
    <n v="0"/>
    <n v="0"/>
    <n v="0"/>
    <n v="0"/>
    <n v="3800"/>
    <n v="0"/>
    <n v="0"/>
    <n v="0"/>
    <n v="0"/>
    <n v="0"/>
    <n v="0"/>
    <n v="0"/>
    <x v="0"/>
    <x v="67"/>
    <x v="67"/>
    <x v="1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0"/>
    <s v="00. RECURSOS ORDINARIOS"/>
    <s v="5. GASTOS CORRIENTES"/>
    <s v="2. GASTOS PRESUPUESTARIOS"/>
    <x v="2"/>
    <s v=" 2. CONTRATACION DE SERVICIOS"/>
    <s v=" 7. SERVICIOS PROFESIONALES Y TECNICOS"/>
    <s v="11. OTROS SERVICIOS"/>
    <s v="99. SERVICIOS DIVERSOS"/>
    <s v="0 . RECURSOS ORDINARIOS"/>
    <n v="0"/>
    <n v="614215"/>
    <n v="614215"/>
    <n v="614214.6"/>
    <n v="614214.6"/>
    <n v="0"/>
    <n v="0"/>
    <n v="0"/>
    <n v="0"/>
    <n v="0"/>
    <n v="0"/>
    <n v="614214.6"/>
    <n v="0"/>
    <n v="0"/>
    <n v="0"/>
    <n v="0"/>
    <n v="0"/>
    <n v="0"/>
    <n v="0"/>
    <n v="0"/>
    <n v="0"/>
    <n v="0"/>
    <n v="0"/>
    <n v="614214.6"/>
    <n v="0"/>
    <n v="0"/>
    <n v="0"/>
    <n v="0"/>
    <n v="0"/>
    <n v="0"/>
    <n v="0"/>
    <n v="0"/>
    <n v="0"/>
    <n v="0"/>
    <n v="0"/>
    <n v="614214.6"/>
    <n v="0"/>
    <n v="0"/>
    <n v="0"/>
    <n v="0"/>
    <n v="0"/>
    <n v="0"/>
    <n v="0"/>
    <n v="0"/>
    <n v="0"/>
    <n v="0"/>
    <n v="0"/>
    <n v="614214.6"/>
    <n v="0"/>
    <n v="0"/>
    <n v="0"/>
    <n v="0"/>
    <n v="0"/>
    <x v="0"/>
    <x v="67"/>
    <x v="67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001."/>
    <s v="5.ACTIVIDAD"/>
    <s v="5004426. MONITOREO, SUPERVISION, EVALUACION Y CONTROL DEL PROGRAMA ARTICULADO NUTRICIONAL"/>
    <s v="20. SALUD"/>
    <s v="004. PLANEAMIENTO GUBERNAMENTAL"/>
    <s v="0005. PLANEAMIENTO INSTITUCIONAL"/>
    <s v="00001"/>
    <s v="0044276. MONITOREO, SUPERVISION, EVALUACION Y CONTROL DEL PROGRAMA ARTICULADO NUTRICIONAL"/>
    <s v="00060 - INFORME"/>
    <n v="4"/>
    <n v="2"/>
    <n v="2"/>
    <n v="2"/>
    <x v="51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19800"/>
    <n v="-2479"/>
    <n v="17321"/>
    <n v="17320.22"/>
    <n v="17320.22"/>
    <n v="5154.84"/>
    <n v="6465.38"/>
    <n v="5700"/>
    <n v="0"/>
    <n v="0"/>
    <n v="0"/>
    <n v="0"/>
    <n v="0"/>
    <n v="0"/>
    <n v="0"/>
    <n v="0"/>
    <n v="0"/>
    <n v="5154.84"/>
    <n v="6465.38"/>
    <n v="5700"/>
    <n v="0"/>
    <n v="0"/>
    <n v="0"/>
    <n v="0"/>
    <n v="0"/>
    <n v="0"/>
    <n v="0"/>
    <n v="0"/>
    <n v="0"/>
    <n v="0"/>
    <n v="5920.22"/>
    <n v="8389.4500000000007"/>
    <n v="3010.55"/>
    <n v="0"/>
    <n v="0"/>
    <n v="0"/>
    <n v="0"/>
    <n v="0"/>
    <n v="0"/>
    <n v="0"/>
    <n v="0"/>
    <n v="0"/>
    <n v="4132.51"/>
    <n v="10177.16"/>
    <n v="3010.55"/>
    <n v="0"/>
    <n v="0"/>
    <n v="0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254."/>
    <s v="5.ACTIVIDAD"/>
    <s v="5000017. APLICACION DE VACUNAS COMPLETAS"/>
    <s v="20. SALUD"/>
    <s v="044. SALUD INDIVIDUAL"/>
    <s v="0096. ATENCION MEDICA BASICA"/>
    <s v="00001"/>
    <s v="0033254. NIÑOS CON VACUNA COMPLETA"/>
    <s v="00218 - NIÑO PROTEGIDO"/>
    <n v="3576"/>
    <n v="1788"/>
    <n v="1160"/>
    <n v="1160"/>
    <x v="59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44800"/>
    <n v="2596"/>
    <n v="47396"/>
    <n v="46583.87"/>
    <n v="46583.87"/>
    <n v="5700"/>
    <n v="6896.77"/>
    <n v="5700"/>
    <n v="16500"/>
    <n v="9987.1"/>
    <n v="0"/>
    <n v="1800"/>
    <n v="0"/>
    <n v="0"/>
    <n v="0"/>
    <n v="0"/>
    <n v="0"/>
    <n v="5700"/>
    <n v="6896.77"/>
    <n v="5700"/>
    <n v="16500"/>
    <n v="9987.1"/>
    <n v="0"/>
    <n v="1800"/>
    <n v="0"/>
    <n v="0"/>
    <n v="0"/>
    <n v="0"/>
    <n v="0"/>
    <n v="0"/>
    <n v="6896.77"/>
    <n v="7978.38"/>
    <n v="16208.36"/>
    <n v="12265.96"/>
    <n v="1434.4"/>
    <n v="1566"/>
    <n v="0"/>
    <n v="0"/>
    <n v="0"/>
    <n v="0"/>
    <n v="0"/>
    <n v="0"/>
    <n v="5765.77"/>
    <n v="7978.38"/>
    <n v="16208.36"/>
    <n v="12265.96"/>
    <n v="1434.4"/>
    <n v="1566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255."/>
    <s v="5.ACTIVIDAD"/>
    <s v="5000018. ATENCION A NIÑOS CON CRECIMIENTO Y DESARROLLO - CRED COMPLETO PARA SU EDAD"/>
    <s v="20. SALUD"/>
    <s v="044. SALUD INDIVIDUAL"/>
    <s v="0096. ATENCION MEDICA BASICA"/>
    <s v="00001"/>
    <s v="0033255. NIÑOS CON CRED COMPLETO SEGUN EDAD"/>
    <s v="00219 - NIÑO CONTROLADO"/>
    <n v="1501"/>
    <n v="750"/>
    <n v="0"/>
    <n v="0"/>
    <x v="53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39600"/>
    <n v="10613"/>
    <n v="50213"/>
    <n v="43013.43"/>
    <n v="43013.43"/>
    <n v="19800"/>
    <n v="19800"/>
    <n v="0"/>
    <n v="-186.57"/>
    <n v="0"/>
    <n v="0"/>
    <n v="1800"/>
    <n v="0"/>
    <n v="0"/>
    <n v="0"/>
    <n v="0"/>
    <n v="0"/>
    <n v="19800"/>
    <n v="19800"/>
    <n v="0"/>
    <n v="-186.57"/>
    <n v="0"/>
    <n v="0"/>
    <n v="1800"/>
    <n v="0"/>
    <n v="0"/>
    <n v="0"/>
    <n v="0"/>
    <n v="0"/>
    <n v="0"/>
    <n v="19613.43"/>
    <n v="19800"/>
    <n v="0"/>
    <n v="0"/>
    <n v="0"/>
    <n v="1343.95"/>
    <n v="0"/>
    <n v="0"/>
    <n v="0"/>
    <n v="0"/>
    <n v="0"/>
    <n v="0"/>
    <n v="19613.43"/>
    <n v="19800"/>
    <n v="0"/>
    <n v="0"/>
    <n v="0"/>
    <n v="1343.95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00001."/>
    <s v="5.ACTIVIDAD"/>
    <s v="5004389. DESARROLLO DE NORMAS Y GUIAS TECNICAS EN SALUD MATERNO NEONATAL"/>
    <s v="20. SALUD"/>
    <s v="043. SALUD COLECTIVA"/>
    <s v="0093. REGULACION Y CONTROL SANITARIO"/>
    <s v="00001"/>
    <s v="0033287. DESARROLLO DE NORMAS Y GUIAS TECNICAS EN SALUD MATERNO NEONATAL"/>
    <s v="00080 - NORMA"/>
    <n v="2"/>
    <n v="1"/>
    <n v="0"/>
    <n v="0"/>
    <x v="7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33300"/>
    <n v="1311"/>
    <n v="34611"/>
    <n v="19110.98"/>
    <n v="19110.98"/>
    <n v="1800"/>
    <n v="1810.98"/>
    <n v="3100"/>
    <n v="1800"/>
    <n v="4400"/>
    <n v="3100"/>
    <n v="3100"/>
    <n v="0"/>
    <n v="0"/>
    <n v="0"/>
    <n v="0"/>
    <n v="0"/>
    <n v="1800"/>
    <n v="1810.98"/>
    <n v="3100"/>
    <n v="1800"/>
    <n v="4400"/>
    <n v="3100"/>
    <n v="3100"/>
    <n v="0"/>
    <n v="0"/>
    <n v="0"/>
    <n v="0"/>
    <n v="0"/>
    <n v="0"/>
    <n v="1810.98"/>
    <n v="2891"/>
    <n v="3575"/>
    <n v="1800"/>
    <n v="4400"/>
    <n v="4231"/>
    <n v="0"/>
    <n v="0"/>
    <n v="0"/>
    <n v="0"/>
    <n v="0"/>
    <n v="0"/>
    <n v="1810.98"/>
    <n v="2891"/>
    <n v="3575"/>
    <n v="1800"/>
    <n v="4400"/>
    <n v="4231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172."/>
    <s v="5.ACTIVIDAD"/>
    <s v="5000037. BRINDAR ATENCION PRENATAL REENFOCADA"/>
    <s v="20. SALUD"/>
    <s v="044. SALUD INDIVIDUAL"/>
    <s v="0096. ATENCION MEDICA BASICA"/>
    <s v="00001"/>
    <s v="0033172. ATENCION PRENATAL REENFOCADA"/>
    <s v="00058 - GESTANTE CONTROLADA"/>
    <n v="3140"/>
    <n v="1570"/>
    <n v="1605"/>
    <n v="1605"/>
    <x v="9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69600"/>
    <n v="2824"/>
    <n v="72424"/>
    <n v="54423.8"/>
    <n v="54423.8"/>
    <n v="8000"/>
    <n v="10823.8"/>
    <n v="6700"/>
    <n v="9300"/>
    <n v="7187.1"/>
    <n v="8812.9"/>
    <n v="3600"/>
    <n v="0"/>
    <n v="0"/>
    <n v="0"/>
    <n v="0"/>
    <n v="0"/>
    <n v="8000"/>
    <n v="10823.8"/>
    <n v="6700"/>
    <n v="9300"/>
    <n v="7187.1"/>
    <n v="8812.9"/>
    <n v="3600"/>
    <n v="0"/>
    <n v="0"/>
    <n v="0"/>
    <n v="0"/>
    <n v="0"/>
    <n v="0"/>
    <n v="10823.8"/>
    <n v="10494.26"/>
    <n v="6820"/>
    <n v="12865.94"/>
    <n v="3581.16"/>
    <n v="9287.9"/>
    <n v="0"/>
    <n v="0"/>
    <n v="0"/>
    <n v="0"/>
    <n v="0"/>
    <n v="0"/>
    <n v="8110.96"/>
    <n v="13207.1"/>
    <n v="6820"/>
    <n v="12865.94"/>
    <n v="3581.16"/>
    <n v="9287.9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5."/>
    <s v="5.ACTIVIDAD"/>
    <s v="5000045. BRINDAR ATENCION DE PARTO NORMAL"/>
    <s v="20. SALUD"/>
    <s v="044. SALUD INDIVIDUAL"/>
    <s v="0096. ATENCION MEDICA BASICA"/>
    <s v="00001"/>
    <s v="0033295. ATENCION DEL PARTO NORMAL"/>
    <s v="00208 - PARTO NORMAL"/>
    <n v="1400"/>
    <n v="700"/>
    <n v="447"/>
    <n v="447"/>
    <x v="11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34800"/>
    <n v="7800"/>
    <n v="42600"/>
    <n v="35331.82"/>
    <n v="35331.82"/>
    <n v="6200"/>
    <n v="10531.82"/>
    <n v="6200"/>
    <n v="6800"/>
    <n v="4300"/>
    <n v="0"/>
    <n v="1300"/>
    <n v="0"/>
    <n v="0"/>
    <n v="0"/>
    <n v="0"/>
    <n v="0"/>
    <n v="6200"/>
    <n v="10531.82"/>
    <n v="6200"/>
    <n v="6800"/>
    <n v="4300"/>
    <n v="0"/>
    <n v="1300"/>
    <n v="0"/>
    <n v="0"/>
    <n v="0"/>
    <n v="0"/>
    <n v="0"/>
    <n v="0"/>
    <n v="7931.82"/>
    <n v="12644.38"/>
    <n v="4594"/>
    <n v="8279"/>
    <n v="582.62"/>
    <n v="1107.3800000000001"/>
    <n v="0"/>
    <n v="0"/>
    <n v="0"/>
    <n v="0"/>
    <n v="0"/>
    <n v="0"/>
    <n v="7931.82"/>
    <n v="11513.38"/>
    <n v="4594"/>
    <n v="8279"/>
    <n v="582.62"/>
    <n v="1107.3800000000001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7."/>
    <s v="5.ACTIVIDAD"/>
    <s v="5000047. BRINDAR ATENCION DEL PARTO COMPLICADO QUIRURGICO"/>
    <s v="20. SALUD"/>
    <s v="044. SALUD INDIVIDUAL"/>
    <s v="0097. ATENCION MEDICA ESPECIALIZADA"/>
    <s v="00001"/>
    <s v="0033297. ATENCION DEL PARTO COMPLICADO QUIRURGICO"/>
    <s v="00210 - CESAREA"/>
    <n v="1550"/>
    <n v="775"/>
    <n v="747"/>
    <n v="747"/>
    <x v="13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93647"/>
    <n v="-1528"/>
    <n v="92119"/>
    <n v="65118.78"/>
    <n v="65118.78"/>
    <n v="7200"/>
    <n v="6118.78"/>
    <n v="3600"/>
    <n v="6700"/>
    <n v="16300"/>
    <n v="19800"/>
    <n v="5400"/>
    <n v="0"/>
    <n v="0"/>
    <n v="0"/>
    <n v="0"/>
    <n v="0"/>
    <n v="7200"/>
    <n v="6118.78"/>
    <n v="3600"/>
    <n v="6700"/>
    <n v="16300"/>
    <n v="19800"/>
    <n v="5400"/>
    <n v="0"/>
    <n v="0"/>
    <n v="0"/>
    <n v="0"/>
    <n v="0"/>
    <n v="0"/>
    <n v="7275.92"/>
    <n v="9174.86"/>
    <n v="4691"/>
    <n v="16526.18"/>
    <n v="19914.400000000001"/>
    <n v="6852.96"/>
    <n v="0"/>
    <n v="0"/>
    <n v="0"/>
    <n v="0"/>
    <n v="0"/>
    <n v="0"/>
    <n v="5709.92"/>
    <n v="10740.86"/>
    <n v="4691"/>
    <n v="16526.18"/>
    <n v="19914.400000000001"/>
    <n v="6852.96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8."/>
    <s v="5.ACTIVIDAD"/>
    <s v="5000048. ATENDER EL PUERPERIO"/>
    <s v="20. SALUD"/>
    <s v="044. SALUD INDIVIDUAL"/>
    <s v="0096. ATENCION MEDICA BASICA"/>
    <s v="00001"/>
    <s v="0033298. ATENCION DEL PUERPERIO"/>
    <s v="00628 - DELITO ATENDIDO"/>
    <n v="150"/>
    <n v="75"/>
    <n v="15"/>
    <n v="15"/>
    <x v="14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24800"/>
    <n v="14955"/>
    <n v="39755"/>
    <n v="26754.84"/>
    <n v="26754.84"/>
    <n v="4400"/>
    <n v="4400"/>
    <n v="4400"/>
    <n v="4354.84"/>
    <n v="4400"/>
    <n v="2200"/>
    <n v="2600"/>
    <n v="0"/>
    <n v="0"/>
    <n v="0"/>
    <n v="0"/>
    <n v="0"/>
    <n v="4400"/>
    <n v="4400"/>
    <n v="4400"/>
    <n v="4354.84"/>
    <n v="4400"/>
    <n v="2200"/>
    <n v="2600"/>
    <n v="0"/>
    <n v="0"/>
    <n v="0"/>
    <n v="0"/>
    <n v="0"/>
    <n v="0"/>
    <n v="4354.84"/>
    <n v="7097"/>
    <n v="4400"/>
    <n v="4400"/>
    <n v="3903"/>
    <n v="2262"/>
    <n v="0"/>
    <n v="0"/>
    <n v="0"/>
    <n v="0"/>
    <n v="0"/>
    <n v="0"/>
    <n v="3223.84"/>
    <n v="8084"/>
    <n v="4544"/>
    <n v="4400"/>
    <n v="3903"/>
    <n v="2262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0."/>
    <s v="5.ACTIVIDAD"/>
    <s v="5000050. ATENDER COMPLICACIONES OBSTETRICAS EN UNIDAD DE CUIDADOS INTENSIVOS"/>
    <s v="20. SALUD"/>
    <s v="044. SALUD INDIVIDUAL"/>
    <s v="0097. ATENCION MEDICA ESPECIALIZADA"/>
    <s v="00001"/>
    <s v="0033300. ATENCION OBSTETRICA EN UNIDAD DE CUIDADOS INTENSIVOS"/>
    <s v="00016 - CASO TRATADO"/>
    <n v="68"/>
    <n v="34"/>
    <n v="16"/>
    <n v="16"/>
    <x v="16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24800"/>
    <n v="918"/>
    <n v="25718"/>
    <n v="12717.05"/>
    <n v="12717.05"/>
    <n v="3100"/>
    <n v="2007.14"/>
    <n v="1300"/>
    <n v="1109.9100000000001"/>
    <n v="1300"/>
    <n v="1300"/>
    <n v="2600"/>
    <n v="0"/>
    <n v="0"/>
    <n v="0"/>
    <n v="0"/>
    <n v="0"/>
    <n v="3100"/>
    <n v="2007.14"/>
    <n v="1300"/>
    <n v="1109.9100000000001"/>
    <n v="1300"/>
    <n v="1300"/>
    <n v="2600"/>
    <n v="0"/>
    <n v="0"/>
    <n v="0"/>
    <n v="0"/>
    <n v="0"/>
    <n v="0"/>
    <n v="2909.91"/>
    <n v="3098.14"/>
    <n v="1300"/>
    <n v="1300"/>
    <n v="1300"/>
    <n v="2391"/>
    <n v="0"/>
    <n v="0"/>
    <n v="0"/>
    <n v="0"/>
    <n v="0"/>
    <n v="0"/>
    <n v="2909.91"/>
    <n v="3098.14"/>
    <n v="1300"/>
    <n v="1300"/>
    <n v="1300"/>
    <n v="2391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4."/>
    <s v="5.ACTIVIDAD"/>
    <s v="5000052. MEJORAMIENTO DEL ACCESO AL SISTEMA DE REFERENCIA INSTITUCIONAL"/>
    <s v="20. SALUD"/>
    <s v="044. SALUD INDIVIDUAL"/>
    <s v="0096. ATENCION MEDICA BASICA"/>
    <s v="00001"/>
    <s v="0033304. ACCESO AL SISTEMA DE REFERENCIA INSTITUCIONAL"/>
    <s v="00214 - GESTANTE Y/O NEONATO REFERIDO"/>
    <n v="14"/>
    <n v="7"/>
    <n v="8"/>
    <n v="8"/>
    <x v="45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45600"/>
    <n v="-457"/>
    <n v="45143"/>
    <n v="29642.99"/>
    <n v="29642.99"/>
    <n v="4900"/>
    <n v="4900"/>
    <n v="4900"/>
    <n v="4655.8900000000003"/>
    <n v="4087.1"/>
    <n v="3100"/>
    <n v="3100"/>
    <n v="0"/>
    <n v="0"/>
    <n v="0"/>
    <n v="0"/>
    <n v="0"/>
    <n v="4900"/>
    <n v="4900"/>
    <n v="4900"/>
    <n v="4655.8900000000003"/>
    <n v="4087.1"/>
    <n v="3100"/>
    <n v="3100"/>
    <n v="0"/>
    <n v="0"/>
    <n v="0"/>
    <n v="0"/>
    <n v="0"/>
    <n v="0"/>
    <n v="4655.8900000000003"/>
    <n v="9021.92"/>
    <n v="4817.1000000000004"/>
    <n v="4113.8100000000004"/>
    <n v="3505.69"/>
    <n v="3100"/>
    <n v="0"/>
    <n v="0"/>
    <n v="0"/>
    <n v="0"/>
    <n v="0"/>
    <n v="0"/>
    <n v="4491.99"/>
    <n v="9185.82"/>
    <n v="4817.1000000000004"/>
    <n v="4113.8100000000004"/>
    <n v="3505.69"/>
    <n v="3100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5."/>
    <s v="5.ACTIVIDAD"/>
    <s v="5000053. ATENDER AL RECIEN NACIDO NORMAL"/>
    <s v="20. SALUD"/>
    <s v="044. SALUD INDIVIDUAL"/>
    <s v="0096. ATENCION MEDICA BASICA"/>
    <s v="00001"/>
    <s v="0033305. ATENCION DEL RECIEN NACIDO NORMAL"/>
    <s v="00239 - RECIEN NACIDO ATENDIDO"/>
    <n v="7546"/>
    <n v="3773"/>
    <n v="2820"/>
    <n v="2820"/>
    <x v="17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59500"/>
    <n v="1420"/>
    <n v="60920"/>
    <n v="54419.38"/>
    <n v="54419.38"/>
    <n v="6700"/>
    <n v="6700"/>
    <n v="6700"/>
    <n v="6274.22"/>
    <n v="12845.16"/>
    <n v="13900"/>
    <n v="1300"/>
    <n v="0"/>
    <n v="0"/>
    <n v="0"/>
    <n v="0"/>
    <n v="0"/>
    <n v="6700"/>
    <n v="6700"/>
    <n v="6700"/>
    <n v="6274.22"/>
    <n v="12845.16"/>
    <n v="13900"/>
    <n v="1300"/>
    <n v="0"/>
    <n v="0"/>
    <n v="0"/>
    <n v="0"/>
    <n v="0"/>
    <n v="0"/>
    <n v="6274.22"/>
    <n v="11988.18"/>
    <n v="7002.27"/>
    <n v="11811.26"/>
    <n v="6946.84"/>
    <n v="10227.61"/>
    <n v="0"/>
    <n v="0"/>
    <n v="0"/>
    <n v="0"/>
    <n v="0"/>
    <n v="0"/>
    <n v="6274.22"/>
    <n v="11988.18"/>
    <n v="7002.27"/>
    <n v="11811.26"/>
    <n v="6946.84"/>
    <n v="10227.61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6."/>
    <s v="5.ACTIVIDAD"/>
    <s v="5000054. ATENDER AL RECIEN NACIDO CON COMPLICACIONES"/>
    <s v="20. SALUD"/>
    <s v="044. SALUD INDIVIDUAL"/>
    <s v="0097. ATENCION MEDICA ESPECIALIZADA"/>
    <s v="00001"/>
    <s v="0033306. ATENCION DEL RECIEN NACIDO CON COMPLICACIONES"/>
    <s v="00016 - CASO TRATADO"/>
    <n v="2469"/>
    <n v="1234"/>
    <n v="728"/>
    <n v="728"/>
    <x v="18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50400"/>
    <n v="3057"/>
    <n v="53457"/>
    <n v="35456.379999999997"/>
    <n v="35456.379999999997"/>
    <n v="5400"/>
    <n v="5400"/>
    <n v="5400"/>
    <n v="4856.38"/>
    <n v="5400"/>
    <n v="5400"/>
    <n v="3600"/>
    <n v="0"/>
    <n v="0"/>
    <n v="0"/>
    <n v="0"/>
    <n v="0"/>
    <n v="5400"/>
    <n v="5400"/>
    <n v="5400"/>
    <n v="4856.38"/>
    <n v="5400"/>
    <n v="5400"/>
    <n v="3600"/>
    <n v="0"/>
    <n v="0"/>
    <n v="0"/>
    <n v="0"/>
    <n v="0"/>
    <n v="0"/>
    <n v="4856.38"/>
    <n v="9452.64"/>
    <n v="5451.99"/>
    <n v="5398.75"/>
    <n v="5489.48"/>
    <n v="3823.63"/>
    <n v="0"/>
    <n v="0"/>
    <n v="0"/>
    <n v="0"/>
    <n v="0"/>
    <n v="0"/>
    <n v="4777.4799999999996"/>
    <n v="9531.5400000000009"/>
    <n v="5451.99"/>
    <n v="5398.75"/>
    <n v="5489.48"/>
    <n v="3823.63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7."/>
    <s v="5.ACTIVIDAD"/>
    <s v="5000055. ATENDER AL RECIEN NACIDO CON COMPLICACIONES QUE REQUIERE UNIDAD DE CUIDADOS INTENSIVOS NEONATALES - UCIN"/>
    <s v="20. SALUD"/>
    <s v="044. SALUD INDIVIDUAL"/>
    <s v="0097. ATENCION MEDICA ESPECIALIZADA"/>
    <s v="00001"/>
    <s v="0033307. ATENCION DEL RECIEN NACIDO CON COMPLICACIONES QUE REQUIERE UNIDAD DE CUIDADOS INTENSIVOS NEONATALES - UCIN"/>
    <s v="00016 - CASO TRATADO"/>
    <n v="1148"/>
    <n v="574"/>
    <n v="436"/>
    <n v="436"/>
    <x v="19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10400"/>
    <n v="4999"/>
    <n v="15399"/>
    <n v="8898.93"/>
    <n v="8898.93"/>
    <n v="1300"/>
    <n v="1300"/>
    <n v="1300"/>
    <n v="1098.93"/>
    <n v="1300"/>
    <n v="1300"/>
    <n v="1300"/>
    <n v="0"/>
    <n v="0"/>
    <n v="0"/>
    <n v="0"/>
    <n v="0"/>
    <n v="1300"/>
    <n v="1300"/>
    <n v="1300"/>
    <n v="1098.93"/>
    <n v="1300"/>
    <n v="1300"/>
    <n v="1300"/>
    <n v="0"/>
    <n v="0"/>
    <n v="0"/>
    <n v="0"/>
    <n v="0"/>
    <n v="0"/>
    <n v="1098.93"/>
    <n v="2304.33"/>
    <n v="1386.67"/>
    <n v="1300"/>
    <n v="1300"/>
    <n v="1300"/>
    <n v="0"/>
    <n v="0"/>
    <n v="0"/>
    <n v="0"/>
    <n v="0"/>
    <n v="0"/>
    <n v="1098.93"/>
    <n v="2304.33"/>
    <n v="1386.67"/>
    <n v="1300"/>
    <n v="1300"/>
    <n v="1300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12."/>
    <s v="5.ACTIVIDAD"/>
    <s v="5004436. DESPISTAJE DE TUBERCULOSIS EN SINTOMATICOS RESPIRATORIOS"/>
    <s v="20. SALUD"/>
    <s v="044. SALUD INDIVIDUAL"/>
    <s v="0096. ATENCION MEDICA BASICA"/>
    <s v="00001"/>
    <s v="0043962. DESPISTAJE DE TUBERCULOSIS EN SINTOMATICOS RESPIRATORIOS"/>
    <s v="00087 - PERSONA ATENDIDA"/>
    <n v="3212"/>
    <n v="1606"/>
    <n v="647.70000000000005"/>
    <n v="647.70000000000005"/>
    <x v="47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14400"/>
    <n v="7937"/>
    <n v="22337"/>
    <n v="13336.98"/>
    <n v="13336.98"/>
    <n v="1800"/>
    <n v="2536.98"/>
    <n v="1800"/>
    <n v="1800"/>
    <n v="1800"/>
    <n v="1800"/>
    <n v="1800"/>
    <n v="0"/>
    <n v="0"/>
    <n v="0"/>
    <n v="0"/>
    <n v="0"/>
    <n v="1800"/>
    <n v="2536.98"/>
    <n v="1800"/>
    <n v="1800"/>
    <n v="1800"/>
    <n v="1800"/>
    <n v="1800"/>
    <n v="0"/>
    <n v="0"/>
    <n v="0"/>
    <n v="0"/>
    <n v="0"/>
    <n v="0"/>
    <n v="2536.98"/>
    <n v="1800"/>
    <n v="3326"/>
    <n v="1800"/>
    <n v="1800"/>
    <n v="1800"/>
    <n v="0"/>
    <n v="0"/>
    <n v="0"/>
    <n v="0"/>
    <n v="0"/>
    <n v="0"/>
    <n v="2536.98"/>
    <n v="1800"/>
    <n v="3326"/>
    <n v="1800"/>
    <n v="1800"/>
    <n v="1800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68."/>
    <s v="5.ACTIVIDAD"/>
    <s v="5000078. BRINDAR A POBLACION CON INFECCIONES DE TRANSMISION SEXUAL TRATAMIENTO SEGUN GUIA CLINICAS"/>
    <s v="20. SALUD"/>
    <s v="044. SALUD INDIVIDUAL"/>
    <s v="0096. ATENCION MEDICA BASICA"/>
    <s v="00001"/>
    <s v="0136036. BRINDAR A POBLACION CON INFECCIONES DE TRANSMISION SEXUAL TRATAMIENTO SEGUN GUIA CLINICAS"/>
    <s v="00394 - TECNICO"/>
    <n v="400"/>
    <n v="200"/>
    <n v="39"/>
    <n v="39"/>
    <x v="97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16200"/>
    <n v="6676"/>
    <n v="22876"/>
    <n v="16375.91"/>
    <n v="16375.91"/>
    <n v="3100"/>
    <n v="3100"/>
    <n v="3100"/>
    <n v="2675.91"/>
    <n v="3100"/>
    <n v="0"/>
    <n v="1300"/>
    <n v="0"/>
    <n v="0"/>
    <n v="0"/>
    <n v="0"/>
    <n v="0"/>
    <n v="3100"/>
    <n v="3100"/>
    <n v="3100"/>
    <n v="2675.91"/>
    <n v="3100"/>
    <n v="0"/>
    <n v="1300"/>
    <n v="0"/>
    <n v="0"/>
    <n v="0"/>
    <n v="0"/>
    <n v="0"/>
    <n v="0"/>
    <n v="2675.91"/>
    <n v="5757"/>
    <n v="3100"/>
    <n v="3100"/>
    <n v="443"/>
    <n v="1091"/>
    <n v="0"/>
    <n v="0"/>
    <n v="0"/>
    <n v="0"/>
    <n v="0"/>
    <n v="0"/>
    <n v="2675.91"/>
    <n v="5757"/>
    <n v="3100"/>
    <n v="3100"/>
    <n v="443"/>
    <n v="1091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71."/>
    <s v="5.ACTIVIDAD"/>
    <s v="5000081. BRINDAR TRATAMIENTO OPORTUNO A MUJERES GESTANTES REACTIVAS A SIFILIS Y SUS CONTACTOS Y RECIEN NACIDOS EXPUESTOS"/>
    <s v="20. SALUD"/>
    <s v="044. SALUD INDIVIDUAL"/>
    <s v="0096. ATENCION MEDICA BASICA"/>
    <s v="00001"/>
    <s v="0136040. BRINDAR TRATAMIENTO OPORTUNO A MUJERES GESTANTES REACTIVAS A SIFILIS Y SUS CONTACTOS Y RECIEN NACIDOS EXPUESTOS"/>
    <s v="00207 - GESTANTE ATENDIDA"/>
    <n v="7"/>
    <n v="4"/>
    <n v="4"/>
    <n v="4"/>
    <x v="106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21000"/>
    <n v="5239"/>
    <n v="26239"/>
    <n v="10738.93"/>
    <n v="10738.93"/>
    <n v="1300"/>
    <n v="1300"/>
    <n v="1300"/>
    <n v="1138.93"/>
    <n v="1300"/>
    <n v="1300"/>
    <n v="3100"/>
    <n v="0"/>
    <n v="0"/>
    <n v="0"/>
    <n v="0"/>
    <n v="0"/>
    <n v="1300"/>
    <n v="1300"/>
    <n v="1300"/>
    <n v="1138.93"/>
    <n v="1300"/>
    <n v="1300"/>
    <n v="3100"/>
    <n v="0"/>
    <n v="0"/>
    <n v="0"/>
    <n v="0"/>
    <n v="0"/>
    <n v="0"/>
    <n v="1138.93"/>
    <n v="2431"/>
    <n v="1300"/>
    <n v="1300"/>
    <n v="1300"/>
    <n v="2866"/>
    <n v="0"/>
    <n v="0"/>
    <n v="0"/>
    <n v="0"/>
    <n v="0"/>
    <n v="0"/>
    <n v="1138.93"/>
    <n v="2431"/>
    <n v="1300"/>
    <n v="1300"/>
    <n v="1300"/>
    <n v="2866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2."/>
    <s v="5.ACTIVIDAD"/>
    <s v="5000110. BRINDAR TRATAMIENTO A PACIENTES CON DIAGNOSTICO DE CATARATAS"/>
    <s v="20. SALUD"/>
    <s v="044. SALUD INDIVIDUAL"/>
    <s v="0097. ATENCION MEDICA ESPECIALIZADA"/>
    <s v="00001"/>
    <s v="0135994. BRINDAR TRATAMIENTO A PACIENTES CON DIAGNOSTICO DE CATARATAS"/>
    <s v="00394 - TECNICO"/>
    <n v="648"/>
    <n v="324"/>
    <n v="141"/>
    <n v="141"/>
    <x v="22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41900"/>
    <n v="2282"/>
    <n v="44182"/>
    <n v="26181.93"/>
    <n v="26181.93"/>
    <n v="3600"/>
    <n v="4581.93"/>
    <n v="3600"/>
    <n v="3600"/>
    <n v="3600"/>
    <n v="3600"/>
    <n v="3600"/>
    <n v="0"/>
    <n v="0"/>
    <n v="0"/>
    <n v="0"/>
    <n v="0"/>
    <n v="3600"/>
    <n v="4581.93"/>
    <n v="3600"/>
    <n v="3600"/>
    <n v="3600"/>
    <n v="3600"/>
    <n v="3600"/>
    <n v="0"/>
    <n v="0"/>
    <n v="0"/>
    <n v="0"/>
    <n v="0"/>
    <n v="0"/>
    <n v="4581.93"/>
    <n v="5148.68"/>
    <n v="3600"/>
    <n v="5040.54"/>
    <n v="3600"/>
    <n v="3600"/>
    <n v="0"/>
    <n v="0"/>
    <n v="0"/>
    <n v="0"/>
    <n v="0"/>
    <n v="0"/>
    <n v="4581.93"/>
    <n v="5148.68"/>
    <n v="3600"/>
    <n v="5040.54"/>
    <n v="3600"/>
    <n v="3600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7."/>
    <s v="5.ACTIVIDAD"/>
    <s v="5000115. BRINDAR TRATAMIENTO A PERSONAS CON DIAGNOSTICO DE DIABETES MELLITUS"/>
    <s v="20. SALUD"/>
    <s v="044. SALUD INDIVIDUAL"/>
    <s v="0097. ATENCION MEDICA ESPECIALIZADA"/>
    <s v="00001"/>
    <s v="0135999. BRINDAR TRATAMIENTO A PERSONAS CON DIAGNOSTICO DE DIABETES MELLITUS"/>
    <s v="00394 - TECNICO"/>
    <n v="2385"/>
    <n v="1192"/>
    <n v="1378"/>
    <n v="1378"/>
    <x v="108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14400"/>
    <n v="7191"/>
    <n v="21591"/>
    <n v="12590.98"/>
    <n v="12590.98"/>
    <n v="1800"/>
    <n v="1800"/>
    <n v="1800"/>
    <n v="1790.98"/>
    <n v="1800"/>
    <n v="1800"/>
    <n v="1800"/>
    <n v="0"/>
    <n v="0"/>
    <n v="0"/>
    <n v="0"/>
    <n v="0"/>
    <n v="1800"/>
    <n v="1800"/>
    <n v="1800"/>
    <n v="1790.98"/>
    <n v="1800"/>
    <n v="1800"/>
    <n v="1800"/>
    <n v="0"/>
    <n v="0"/>
    <n v="0"/>
    <n v="0"/>
    <n v="0"/>
    <n v="0"/>
    <n v="1790.98"/>
    <n v="3384.54"/>
    <n v="1800"/>
    <n v="1800"/>
    <n v="1800"/>
    <n v="1800"/>
    <n v="0"/>
    <n v="0"/>
    <n v="0"/>
    <n v="0"/>
    <n v="0"/>
    <n v="0"/>
    <n v="1790.98"/>
    <n v="3384.54"/>
    <n v="1800"/>
    <n v="1800"/>
    <n v="1800"/>
    <n v="1800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001."/>
    <s v="5.ACTIVIDAD"/>
    <s v="5004441. MONITOREO, SUPERVISION, EVALUACION Y CONTROL DE PREVENCION Y CONTROL DEL CANCER"/>
    <s v="20. SALUD"/>
    <s v="004. PLANEAMIENTO GUBERNAMENTAL"/>
    <s v="0005. PLANEAMIENTO INSTITUCIONAL"/>
    <s v="00001"/>
    <s v="0044192. MONITOREO, SUPERVISION, EVALUACION Y CONTROL DE PREVENCION Y CONTROL DEL CANCER"/>
    <s v="00060 - INFORME"/>
    <n v="6"/>
    <n v="3"/>
    <n v="3"/>
    <n v="3"/>
    <x v="128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21600"/>
    <n v="-972"/>
    <n v="20628"/>
    <n v="7200"/>
    <n v="7200"/>
    <n v="0"/>
    <n v="0"/>
    <n v="0"/>
    <n v="1800"/>
    <n v="1800"/>
    <n v="1800"/>
    <n v="1800"/>
    <n v="0"/>
    <n v="0"/>
    <n v="0"/>
    <n v="0"/>
    <n v="0"/>
    <n v="0"/>
    <n v="0"/>
    <n v="0"/>
    <n v="1800"/>
    <n v="1800"/>
    <n v="1800"/>
    <n v="1800"/>
    <n v="0"/>
    <n v="0"/>
    <n v="0"/>
    <n v="0"/>
    <n v="0"/>
    <n v="0"/>
    <n v="0"/>
    <n v="0"/>
    <n v="1545.44"/>
    <n v="1800"/>
    <n v="1800"/>
    <n v="1800"/>
    <n v="0"/>
    <n v="0"/>
    <n v="0"/>
    <n v="0"/>
    <n v="0"/>
    <n v="0"/>
    <n v="0"/>
    <n v="0"/>
    <n v="1545.44"/>
    <n v="1800"/>
    <n v="1800"/>
    <n v="1800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001."/>
    <s v="5.ACTIVIDAD"/>
    <s v="5004442. DESARROLLO DE NORMAS Y GUIAS TECNICAS EN PREVENCION Y CONTROL DEL CANCER"/>
    <s v="20. SALUD"/>
    <s v="043. SALUD COLECTIVA"/>
    <s v="0093. REGULACION Y CONTROL SANITARIO"/>
    <s v="00001"/>
    <s v="0044193. DESARROLLO DE NORMAS Y GUIAS TECNICAS EN PREVENCION Y CONTROL DEL CANCER"/>
    <s v="00080 - NORMA"/>
    <n v="2"/>
    <n v="1"/>
    <n v="0"/>
    <n v="0"/>
    <x v="129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15600"/>
    <n v="-507"/>
    <n v="15093"/>
    <n v="5200"/>
    <n v="5200"/>
    <n v="0"/>
    <n v="0"/>
    <n v="0"/>
    <n v="1300"/>
    <n v="1300"/>
    <n v="1300"/>
    <n v="1300"/>
    <n v="0"/>
    <n v="0"/>
    <n v="0"/>
    <n v="0"/>
    <n v="0"/>
    <n v="0"/>
    <n v="0"/>
    <n v="0"/>
    <n v="1300"/>
    <n v="1300"/>
    <n v="1300"/>
    <n v="1300"/>
    <n v="0"/>
    <n v="0"/>
    <n v="0"/>
    <n v="0"/>
    <n v="0"/>
    <n v="0"/>
    <n v="0"/>
    <n v="0"/>
    <n v="989.45"/>
    <n v="1300"/>
    <n v="1298.46"/>
    <n v="1256.3499999999999"/>
    <n v="0"/>
    <n v="0"/>
    <n v="0"/>
    <n v="0"/>
    <n v="0"/>
    <n v="0"/>
    <n v="0"/>
    <n v="0"/>
    <n v="989.45"/>
    <n v="1300"/>
    <n v="1298.46"/>
    <n v="1256.3499999999999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66."/>
    <s v="5.ACTIVIDAD"/>
    <s v="5006014. DIAGNOSTICO DEL CANCER DE MAMA"/>
    <s v="20. SALUD"/>
    <s v="044. SALUD INDIVIDUAL"/>
    <s v="0097. ATENCION MEDICA ESPECIALIZADA"/>
    <s v="00001"/>
    <s v="0215087. DIAGNOSTICO DEL CANCER DE MAMA"/>
    <s v="00393 - TASA"/>
    <n v="48"/>
    <n v="14"/>
    <n v="12"/>
    <n v="12"/>
    <x v="114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16200"/>
    <n v="0"/>
    <n v="16200"/>
    <n v="7200"/>
    <n v="7200"/>
    <n v="0"/>
    <n v="0"/>
    <n v="0"/>
    <n v="1800"/>
    <n v="1800"/>
    <n v="1800"/>
    <n v="1800"/>
    <n v="0"/>
    <n v="0"/>
    <n v="0"/>
    <n v="0"/>
    <n v="0"/>
    <n v="0"/>
    <n v="0"/>
    <n v="0"/>
    <n v="1800"/>
    <n v="1800"/>
    <n v="1800"/>
    <n v="1800"/>
    <n v="0"/>
    <n v="0"/>
    <n v="0"/>
    <n v="0"/>
    <n v="0"/>
    <n v="0"/>
    <n v="0"/>
    <n v="0"/>
    <n v="1588.68"/>
    <n v="1800"/>
    <n v="1800"/>
    <n v="1800"/>
    <n v="0"/>
    <n v="0"/>
    <n v="0"/>
    <n v="0"/>
    <n v="0"/>
    <n v="0"/>
    <n v="0"/>
    <n v="0"/>
    <n v="1588.68"/>
    <n v="1800"/>
    <n v="1800"/>
    <n v="1800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815."/>
    <s v="5.ACTIVIDAD"/>
    <s v="5006001. CONSEJERIA PARA PACIENTES DIAGNOSTICADOS CON CANCER"/>
    <s v="20. SALUD"/>
    <s v="044. SALUD INDIVIDUAL"/>
    <s v="0096. ATENCION MEDICA BASICA"/>
    <s v="00001"/>
    <s v="0215074. CONSEJERIA PARA PACIENTES DIAGNOSTICADOS CON CANCER"/>
    <s v="00259 - PERSONA INFORMADA"/>
    <n v="380"/>
    <n v="190"/>
    <n v="70"/>
    <n v="70"/>
    <x v="91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54000"/>
    <n v="1364"/>
    <n v="55364"/>
    <n v="46363.519999999997"/>
    <n v="46363.519999999997"/>
    <n v="12600"/>
    <n v="12600"/>
    <n v="12600"/>
    <n v="3163.52"/>
    <n v="1800"/>
    <n v="1800"/>
    <n v="1800"/>
    <n v="0"/>
    <n v="0"/>
    <n v="0"/>
    <n v="0"/>
    <n v="0"/>
    <n v="12600"/>
    <n v="12600"/>
    <n v="12600"/>
    <n v="3163.52"/>
    <n v="1800"/>
    <n v="1800"/>
    <n v="1800"/>
    <n v="0"/>
    <n v="0"/>
    <n v="0"/>
    <n v="0"/>
    <n v="0"/>
    <n v="0"/>
    <n v="12163.52"/>
    <n v="23557.78"/>
    <n v="4813.1000000000004"/>
    <n v="2014.56"/>
    <n v="1800"/>
    <n v="1800"/>
    <n v="0"/>
    <n v="0"/>
    <n v="0"/>
    <n v="0"/>
    <n v="0"/>
    <n v="0"/>
    <n v="12163.52"/>
    <n v="23557.78"/>
    <n v="4813.1000000000004"/>
    <n v="2014.56"/>
    <n v="1800"/>
    <n v="1800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819."/>
    <s v="5.ACTIVIDAD"/>
    <s v="5006032. ATENCION CON CUIDADOS PALIATIVOS EN EL ESTABLECIMIENTO DE SALUD"/>
    <s v="20. SALUD"/>
    <s v="044. SALUD INDIVIDUAL"/>
    <s v="0097. ATENCION MEDICA ESPECIALIZADA"/>
    <s v="00001"/>
    <s v="0215105. ATENCION CON CUIDADOS PALIATIVOS EN EL ESTABLECIMIENTO DE SALUD"/>
    <s v="00087 - PERSONA ATENDIDA"/>
    <n v="456"/>
    <n v="228"/>
    <n v="48"/>
    <n v="48"/>
    <x v="130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65800"/>
    <n v="-1600"/>
    <n v="64200"/>
    <n v="24200"/>
    <n v="24200"/>
    <n v="0"/>
    <n v="0"/>
    <n v="0"/>
    <n v="5400"/>
    <n v="5400"/>
    <n v="5400"/>
    <n v="8000"/>
    <n v="0"/>
    <n v="0"/>
    <n v="0"/>
    <n v="0"/>
    <n v="0"/>
    <n v="0"/>
    <n v="0"/>
    <n v="0"/>
    <n v="5400"/>
    <n v="5400"/>
    <n v="5400"/>
    <n v="8000"/>
    <n v="0"/>
    <n v="0"/>
    <n v="0"/>
    <n v="0"/>
    <n v="0"/>
    <n v="0"/>
    <n v="0"/>
    <n v="0"/>
    <n v="4652.78"/>
    <n v="5400"/>
    <n v="5400"/>
    <n v="7678.38"/>
    <n v="0"/>
    <n v="0"/>
    <n v="0"/>
    <n v="0"/>
    <n v="0"/>
    <n v="0"/>
    <n v="0"/>
    <n v="0"/>
    <n v="4652.78"/>
    <n v="5400"/>
    <n v="5400"/>
    <n v="7678.38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734."/>
    <s v="5.ACTIVIDAD"/>
    <s v="5005612. DESARROLLO DE LOS CENTROS Y ESPACIOS DE MONITOREO DE EMERGENCIAS Y DESASTRES"/>
    <s v="20. SALUD"/>
    <s v="016. GESTION DE RIESGOS Y EMERGENCIAS"/>
    <s v="0036. ATENCION INMEDIATA DE DESASTRES"/>
    <s v="00001"/>
    <s v="0160879. DESARROLLO DE LOS CENTROS Y ESPACIOS DE MONITOREO DE EMERGENCIAS Y DESASTRES"/>
    <s v="00248 - REPORTE"/>
    <n v="12"/>
    <n v="6"/>
    <n v="6"/>
    <n v="6"/>
    <x v="26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21600"/>
    <n v="9077"/>
    <n v="30677"/>
    <n v="21676.98"/>
    <n v="21676.98"/>
    <n v="1800"/>
    <n v="1800"/>
    <n v="0"/>
    <n v="6476.98"/>
    <n v="4900"/>
    <n v="4900"/>
    <n v="1800"/>
    <n v="0"/>
    <n v="0"/>
    <n v="0"/>
    <n v="0"/>
    <n v="0"/>
    <n v="1800"/>
    <n v="1800"/>
    <n v="0"/>
    <n v="6476.98"/>
    <n v="4900"/>
    <n v="4900"/>
    <n v="1800"/>
    <n v="0"/>
    <n v="0"/>
    <n v="0"/>
    <n v="0"/>
    <n v="0"/>
    <n v="0"/>
    <n v="1576.98"/>
    <n v="1800"/>
    <n v="4594.22"/>
    <n v="6077"/>
    <n v="4057"/>
    <n v="3334"/>
    <n v="0"/>
    <n v="0"/>
    <n v="0"/>
    <n v="0"/>
    <n v="0"/>
    <n v="0"/>
    <n v="1576.98"/>
    <n v="1700"/>
    <n v="4694.22"/>
    <n v="6077"/>
    <n v="4057"/>
    <n v="3334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1. ATENCION DE TRIAJE"/>
    <s v="20. SALUD"/>
    <s v="044. SALUD INDIVIDUAL"/>
    <s v="0098. SERVICIOS DE DIAGNOSTICO Y TRATAMIENTO"/>
    <s v="00001"/>
    <s v="0188297. ATENCION DE TRIAJE"/>
    <s v="00006 - ATENCION"/>
    <n v="6000"/>
    <n v="3000"/>
    <n v="8247"/>
    <n v="8247"/>
    <x v="123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64400"/>
    <n v="0"/>
    <n v="64400"/>
    <n v="43455.71"/>
    <n v="43455.71"/>
    <n v="11100"/>
    <n v="11100"/>
    <n v="5700"/>
    <n v="5155.71"/>
    <n v="3900"/>
    <n v="3900"/>
    <n v="2600"/>
    <n v="0"/>
    <n v="0"/>
    <n v="0"/>
    <n v="0"/>
    <n v="0"/>
    <n v="11100"/>
    <n v="11100"/>
    <n v="5700"/>
    <n v="5155.71"/>
    <n v="3900"/>
    <n v="3900"/>
    <n v="2600"/>
    <n v="0"/>
    <n v="0"/>
    <n v="0"/>
    <n v="0"/>
    <n v="0"/>
    <n v="0"/>
    <n v="10555.71"/>
    <n v="16053.92"/>
    <n v="5660"/>
    <n v="4115.46"/>
    <n v="3900"/>
    <n v="2769"/>
    <n v="0"/>
    <n v="0"/>
    <n v="0"/>
    <n v="0"/>
    <n v="0"/>
    <n v="0"/>
    <n v="10555.71"/>
    <n v="16053.92"/>
    <n v="5660"/>
    <n v="4115.46"/>
    <n v="3900"/>
    <n v="2769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3. ATENCION DE LA EMERGENCIA Y URGENCIA ESPECIALIZADA"/>
    <s v="20. SALUD"/>
    <s v="044. SALUD INDIVIDUAL"/>
    <s v="0097. ATENCION MEDICA ESPECIALIZADA"/>
    <s v="00001"/>
    <s v="0188299. ATENCION DE LA EMERGENCIA Y URGENCIA ESPECIALIZADA"/>
    <s v="00006 - ATENCION"/>
    <n v="25000"/>
    <n v="12500"/>
    <n v="7470"/>
    <n v="7470"/>
    <x v="28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166000"/>
    <n v="-12882"/>
    <n v="153118"/>
    <n v="37287.1"/>
    <n v="37287.1"/>
    <n v="0"/>
    <n v="0"/>
    <n v="0"/>
    <n v="7200"/>
    <n v="6387.1"/>
    <n v="5400"/>
    <n v="18300"/>
    <n v="0"/>
    <n v="0"/>
    <n v="0"/>
    <n v="0"/>
    <n v="0"/>
    <n v="0"/>
    <n v="0"/>
    <n v="0"/>
    <n v="7200"/>
    <n v="6387.1"/>
    <n v="5400"/>
    <n v="18300"/>
    <n v="0"/>
    <n v="0"/>
    <n v="0"/>
    <n v="0"/>
    <n v="0"/>
    <n v="0"/>
    <n v="0"/>
    <n v="0"/>
    <n v="6256.76"/>
    <n v="6272.16"/>
    <n v="5610.16"/>
    <n v="16768"/>
    <n v="0"/>
    <n v="0"/>
    <n v="0"/>
    <n v="0"/>
    <n v="0"/>
    <n v="0"/>
    <n v="0"/>
    <n v="0"/>
    <n v="6256.76"/>
    <n v="6272.16"/>
    <n v="5610.16"/>
    <n v="16768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4. ATENCION DE LA EMERGENCIA DE CUIDADOS INTENSIVOS"/>
    <s v="20. SALUD"/>
    <s v="044. SALUD INDIVIDUAL"/>
    <s v="0097. ATENCION MEDICA ESPECIALIZADA"/>
    <s v="00001"/>
    <s v="0188300. ATENCION DE LA EMERGENCIA DE CUIDADOS INTENSIVOS"/>
    <s v="00006 - ATENCION"/>
    <n v="400"/>
    <n v="200"/>
    <n v="128"/>
    <n v="128"/>
    <x v="29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64100"/>
    <n v="-353"/>
    <n v="63747"/>
    <n v="7000"/>
    <n v="7000"/>
    <n v="0"/>
    <n v="0"/>
    <n v="0"/>
    <n v="1300"/>
    <n v="1300"/>
    <n v="1300"/>
    <n v="3100"/>
    <n v="0"/>
    <n v="0"/>
    <n v="0"/>
    <n v="0"/>
    <n v="0"/>
    <n v="0"/>
    <n v="0"/>
    <n v="0"/>
    <n v="1300"/>
    <n v="1300"/>
    <n v="1300"/>
    <n v="3100"/>
    <n v="0"/>
    <n v="0"/>
    <n v="0"/>
    <n v="0"/>
    <n v="0"/>
    <n v="0"/>
    <n v="0"/>
    <n v="0"/>
    <n v="1147.3800000000001"/>
    <n v="1300"/>
    <n v="1300"/>
    <n v="2866"/>
    <n v="0"/>
    <n v="0"/>
    <n v="0"/>
    <n v="0"/>
    <n v="0"/>
    <n v="0"/>
    <n v="0"/>
    <n v="0"/>
    <n v="1147.3800000000001"/>
    <n v="1300"/>
    <n v="1300"/>
    <n v="2866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5. ATENCION DE LA EMERGENCIA QUIRURGICA"/>
    <s v="20. SALUD"/>
    <s v="044. SALUD INDIVIDUAL"/>
    <s v="0097. ATENCION MEDICA ESPECIALIZADA"/>
    <s v="00001"/>
    <s v="0188301. ATENCION DE LA EMERGENCIA QUIRURGICA"/>
    <s v="00006 - ATENCION"/>
    <n v="3000"/>
    <n v="1500"/>
    <n v="1405"/>
    <n v="1405"/>
    <x v="30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154800"/>
    <n v="-9505"/>
    <n v="145295"/>
    <n v="56001.69"/>
    <n v="56001.69"/>
    <n v="12900"/>
    <n v="11100"/>
    <n v="11100"/>
    <n v="2001.69"/>
    <n v="2600"/>
    <n v="2600"/>
    <n v="13700"/>
    <n v="0"/>
    <n v="0"/>
    <n v="0"/>
    <n v="0"/>
    <n v="0"/>
    <n v="12900"/>
    <n v="11100"/>
    <n v="11100"/>
    <n v="2001.69"/>
    <n v="2600"/>
    <n v="2600"/>
    <n v="13700"/>
    <n v="0"/>
    <n v="0"/>
    <n v="0"/>
    <n v="0"/>
    <n v="0"/>
    <n v="0"/>
    <n v="12301.69"/>
    <n v="20780.18"/>
    <n v="3655.86"/>
    <n v="2600"/>
    <n v="2600"/>
    <n v="12290.24"/>
    <n v="0"/>
    <n v="0"/>
    <n v="0"/>
    <n v="0"/>
    <n v="0"/>
    <n v="0"/>
    <n v="12301.69"/>
    <n v="20780.18"/>
    <n v="3655.86"/>
    <n v="2600"/>
    <n v="2600"/>
    <n v="12290.24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0"/>
    <s v=" ."/>
    <s v="3000688."/>
    <s v="5.ACTIVIDAD"/>
    <s v="5004449. CAPACITACION EN MEDICINA DE REHABILITACION"/>
    <s v="20. SALUD"/>
    <s v="044. SALUD INDIVIDUAL"/>
    <s v="0097. ATENCION MEDICA ESPECIALIZADA"/>
    <s v="00001"/>
    <s v="0136018. CAPACITACION EN MEDICINA DE REHABILITACION"/>
    <s v="00088 - PERSONA CAPACITADA"/>
    <n v="60"/>
    <n v="30"/>
    <n v="0"/>
    <n v="0"/>
    <x v="0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119418"/>
    <n v="11622"/>
    <n v="131040"/>
    <n v="96039.360000000001"/>
    <n v="96039.360000000001"/>
    <n v="17600"/>
    <n v="16300"/>
    <n v="15000"/>
    <n v="14639.36"/>
    <n v="13600"/>
    <n v="11900"/>
    <n v="7000"/>
    <n v="0"/>
    <n v="0"/>
    <n v="0"/>
    <n v="0"/>
    <n v="0"/>
    <n v="17600"/>
    <n v="16300"/>
    <n v="15000"/>
    <n v="14639.36"/>
    <n v="13600"/>
    <n v="11900"/>
    <n v="7000"/>
    <n v="0"/>
    <n v="0"/>
    <n v="0"/>
    <n v="0"/>
    <n v="0"/>
    <n v="0"/>
    <n v="17239.36"/>
    <n v="26474.03"/>
    <n v="15000"/>
    <n v="15355.97"/>
    <n v="13668.45"/>
    <n v="7320"/>
    <n v="0"/>
    <n v="0"/>
    <n v="0"/>
    <n v="0"/>
    <n v="0"/>
    <n v="0"/>
    <n v="14864.75"/>
    <n v="25426.65"/>
    <n v="15000"/>
    <n v="15355.97"/>
    <n v="13668.45"/>
    <n v="7320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698."/>
    <s v="5.ACTIVIDAD"/>
    <s v="5005188. TAMIZAJE DE PERSONAS CON TRASTORNOS MENTALES Y PROBLEMAS PSICOSOCIALES"/>
    <s v="20. SALUD"/>
    <s v="044. SALUD INDIVIDUAL"/>
    <s v="0096. ATENCION MEDICA BASICA"/>
    <s v="00001"/>
    <s v="0136780. TAMIZAJE DE PERSONAS CON TRASTORNOS MENTALES Y PROBLEMAS PSICOSOCIALES"/>
    <s v="00438 - PULGADAS"/>
    <n v="310"/>
    <n v="155"/>
    <n v="273"/>
    <n v="273"/>
    <x v="31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14400"/>
    <n v="0"/>
    <n v="14400"/>
    <n v="12570.98"/>
    <n v="12570.98"/>
    <n v="1800"/>
    <n v="1800"/>
    <n v="1800"/>
    <n v="1770.98"/>
    <n v="1800"/>
    <n v="1800"/>
    <n v="1800"/>
    <n v="0"/>
    <n v="0"/>
    <n v="0"/>
    <n v="0"/>
    <n v="0"/>
    <n v="1800"/>
    <n v="1800"/>
    <n v="1800"/>
    <n v="1770.98"/>
    <n v="1800"/>
    <n v="1800"/>
    <n v="1800"/>
    <n v="0"/>
    <n v="0"/>
    <n v="0"/>
    <n v="0"/>
    <n v="0"/>
    <n v="0"/>
    <n v="1770.98"/>
    <n v="3348.68"/>
    <n v="1800"/>
    <n v="1800"/>
    <n v="1800"/>
    <n v="1800"/>
    <n v="0"/>
    <n v="0"/>
    <n v="0"/>
    <n v="0"/>
    <n v="0"/>
    <n v="0"/>
    <n v="1770.98"/>
    <n v="3348.68"/>
    <n v="1800"/>
    <n v="1800"/>
    <n v="1800"/>
    <n v="1800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700."/>
    <s v="5.ACTIVIDAD"/>
    <s v="5005191. TRATAMIENTO CON INTERNAMIENTO DE PERSONAS CON TRASTORNOS AFECTIVOS Y DE ANSIEDAD"/>
    <s v="20. SALUD"/>
    <s v="044. SALUD INDIVIDUAL"/>
    <s v="0097. ATENCION MEDICA ESPECIALIZADA"/>
    <s v="00001"/>
    <s v="0136783. TRATAMIENTO CON INTERNAMIENTO DE PERSONAS CON TRASTORNOS AFECTIVOS Y DE ANSIEDAD"/>
    <s v="00394 - TECNICO"/>
    <n v="50"/>
    <n v="25"/>
    <n v="20"/>
    <n v="20"/>
    <x v="64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0"/>
    <n v="39600"/>
    <n v="39600"/>
    <n v="16500"/>
    <n v="16500"/>
    <n v="0"/>
    <n v="0"/>
    <n v="3300"/>
    <n v="3300"/>
    <n v="3300"/>
    <n v="3300"/>
    <n v="3300"/>
    <n v="0"/>
    <n v="0"/>
    <n v="0"/>
    <n v="0"/>
    <n v="0"/>
    <n v="0"/>
    <n v="0"/>
    <n v="3300"/>
    <n v="3300"/>
    <n v="3300"/>
    <n v="3300"/>
    <n v="3300"/>
    <n v="0"/>
    <n v="0"/>
    <n v="0"/>
    <n v="0"/>
    <n v="0"/>
    <n v="0"/>
    <n v="0"/>
    <n v="2648.58"/>
    <n v="3300"/>
    <n v="3564"/>
    <n v="3300"/>
    <n v="3300"/>
    <n v="0"/>
    <n v="0"/>
    <n v="0"/>
    <n v="0"/>
    <n v="0"/>
    <n v="0"/>
    <n v="0"/>
    <n v="2648.58"/>
    <n v="3300"/>
    <n v="3564"/>
    <n v="3300"/>
    <n v="3300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702."/>
    <s v="5.ACTIVIDAD"/>
    <s v="5005196. TRATAMIENTO CON INTERNAMIENTO DE PERSONAS CON SINDROME O TRASTORNO PSICOTICO"/>
    <s v="20. SALUD"/>
    <s v="044. SALUD INDIVIDUAL"/>
    <s v="0097. ATENCION MEDICA ESPECIALIZADA"/>
    <s v="00001"/>
    <s v="0136788. TRATAMIENTO CON INTERNAMIENTO DE PERSONAS CON SINDROME O TRASTORNO PSICOTICO"/>
    <s v="00394 - TECNICO"/>
    <n v="80"/>
    <n v="40"/>
    <n v="22"/>
    <n v="22"/>
    <x v="125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0"/>
    <n v="194704"/>
    <n v="194704"/>
    <n v="74200"/>
    <n v="74200"/>
    <n v="0"/>
    <n v="0"/>
    <n v="12000"/>
    <n v="12000"/>
    <n v="19000"/>
    <n v="13500"/>
    <n v="17700"/>
    <n v="0"/>
    <n v="0"/>
    <n v="0"/>
    <n v="0"/>
    <n v="0"/>
    <n v="0"/>
    <n v="0"/>
    <n v="12000"/>
    <n v="12000"/>
    <n v="19000"/>
    <n v="13500"/>
    <n v="17700"/>
    <n v="0"/>
    <n v="0"/>
    <n v="0"/>
    <n v="0"/>
    <n v="0"/>
    <n v="0"/>
    <n v="0"/>
    <n v="10500.8"/>
    <n v="12000"/>
    <n v="17930"/>
    <n v="14355.4"/>
    <n v="17201.400000000001"/>
    <n v="0"/>
    <n v="0"/>
    <n v="0"/>
    <n v="0"/>
    <n v="0"/>
    <n v="0"/>
    <n v="0"/>
    <n v="10500.8"/>
    <n v="12000"/>
    <n v="17930"/>
    <n v="14355.4"/>
    <n v="17201.400000000001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702."/>
    <s v="5.ACTIVIDAD"/>
    <s v="5005197. REHABILITACION PSICOSOCIAL DE PERSONAS CON SINDROME O TRASTORNO ESQUIZOFRENICO"/>
    <s v="20. SALUD"/>
    <s v="044. SALUD INDIVIDUAL"/>
    <s v="0097. ATENCION MEDICA ESPECIALIZADA"/>
    <s v="00001"/>
    <s v="0136789. REHABILITACION PSICOSOCIAL DE PERSONAS CON SINDROME O TRASTORNO ESQUIZOFRENICO"/>
    <s v="00087 - PERSONA ATENDIDA"/>
    <n v="2"/>
    <n v="1"/>
    <n v="1"/>
    <n v="1"/>
    <x v="126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14400"/>
    <n v="0"/>
    <n v="14400"/>
    <n v="12141.94"/>
    <n v="12141.94"/>
    <n v="0"/>
    <n v="8600"/>
    <n v="0"/>
    <n v="1800"/>
    <n v="0"/>
    <n v="0"/>
    <n v="1741.94"/>
    <n v="0"/>
    <n v="0"/>
    <n v="0"/>
    <n v="0"/>
    <n v="0"/>
    <n v="0"/>
    <n v="8600"/>
    <n v="0"/>
    <n v="1800"/>
    <n v="0"/>
    <n v="0"/>
    <n v="1741.94"/>
    <n v="0"/>
    <n v="0"/>
    <n v="0"/>
    <n v="0"/>
    <n v="0"/>
    <n v="0"/>
    <n v="0"/>
    <n v="8600"/>
    <n v="1401.44"/>
    <n v="398.56"/>
    <n v="0"/>
    <n v="1494.3"/>
    <n v="0"/>
    <n v="0"/>
    <n v="0"/>
    <n v="0"/>
    <n v="0"/>
    <n v="0"/>
    <n v="0"/>
    <n v="8600"/>
    <n v="1401.44"/>
    <n v="398.56"/>
    <n v="0"/>
    <n v="1494.3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516104"/>
    <n v="328083"/>
    <n v="844187"/>
    <n v="545121.77"/>
    <n v="545121.77"/>
    <n v="53690"/>
    <n v="69860.210000000006"/>
    <n v="188437.34"/>
    <n v="56674.01"/>
    <n v="63158.06"/>
    <n v="57966.67"/>
    <n v="55335.48"/>
    <n v="0"/>
    <n v="0"/>
    <n v="0"/>
    <n v="0"/>
    <n v="0"/>
    <n v="53690"/>
    <n v="69860.210000000006"/>
    <n v="188437.34"/>
    <n v="56674.01"/>
    <n v="63158.06"/>
    <n v="57966.67"/>
    <n v="55335.48"/>
    <n v="0"/>
    <n v="0"/>
    <n v="0"/>
    <n v="0"/>
    <n v="0"/>
    <n v="0"/>
    <n v="52734.22"/>
    <n v="211090.29"/>
    <n v="48084.91"/>
    <n v="74725.37"/>
    <n v="42571.37"/>
    <n v="74148.72"/>
    <n v="0"/>
    <n v="0"/>
    <n v="0"/>
    <n v="0"/>
    <n v="0"/>
    <n v="0"/>
    <n v="51029.99"/>
    <n v="209900.84"/>
    <n v="48228.04"/>
    <n v="76314.05"/>
    <n v="42571.37"/>
    <n v="74148.72"/>
    <n v="0"/>
    <n v="0"/>
    <n v="0"/>
    <n v="0"/>
    <n v="0"/>
    <x v="0"/>
    <x v="68"/>
    <x v="68"/>
    <x v="1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5. GESTION DE RECURSOS HUMANOS"/>
    <s v="20. SALUD"/>
    <s v="006. GESTION"/>
    <s v="0011. PREPARACION Y PERFECCIONAMIENTO DE RECURSOS HUMANOS"/>
    <s v="00001"/>
    <s v="0053571. GESTION DE RECURSOS HUMANOS"/>
    <s v="00001 - ACCION"/>
    <n v="2426"/>
    <n v="1213"/>
    <n v="124"/>
    <n v="124"/>
    <x v="3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139200"/>
    <n v="22254"/>
    <n v="161454"/>
    <n v="142453.44"/>
    <n v="142453.44"/>
    <n v="83134.84"/>
    <n v="44041.8"/>
    <n v="154.22"/>
    <n v="9022.58"/>
    <n v="2300"/>
    <n v="0"/>
    <n v="3800"/>
    <n v="0"/>
    <n v="0"/>
    <n v="0"/>
    <n v="0"/>
    <n v="0"/>
    <n v="83134.84"/>
    <n v="44041.8"/>
    <n v="154.22"/>
    <n v="9022.58"/>
    <n v="2300"/>
    <n v="0"/>
    <n v="3800"/>
    <n v="0"/>
    <n v="0"/>
    <n v="0"/>
    <n v="0"/>
    <n v="0"/>
    <n v="0"/>
    <n v="83876.639999999999"/>
    <n v="43454.22"/>
    <n v="0"/>
    <n v="11052.56"/>
    <n v="270.02"/>
    <n v="3334.98"/>
    <n v="0"/>
    <n v="0"/>
    <n v="0"/>
    <n v="0"/>
    <n v="0"/>
    <n v="0"/>
    <n v="80518.52"/>
    <n v="45235.72"/>
    <n v="0"/>
    <n v="11052.56"/>
    <n v="270.02"/>
    <n v="3334.98"/>
    <n v="0"/>
    <n v="0"/>
    <n v="0"/>
    <n v="0"/>
    <n v="0"/>
    <x v="0"/>
    <x v="68"/>
    <x v="68"/>
    <x v="1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6. ACCIONES DE CONTROL Y AUDITORIA"/>
    <s v="20. SALUD"/>
    <s v="006. GESTION"/>
    <s v="0012. CONTROL INTERNO"/>
    <s v="00001"/>
    <s v="0023404. ACCIONES DE CONTROL Y AUDITORIA"/>
    <s v="00001 - ACCION"/>
    <n v="54"/>
    <n v="27"/>
    <n v="13"/>
    <n v="13"/>
    <x v="4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49200"/>
    <n v="-18141"/>
    <n v="31059"/>
    <n v="14454.84"/>
    <n v="14454.84"/>
    <n v="1500"/>
    <n v="0"/>
    <n v="0"/>
    <n v="1500"/>
    <n v="1500"/>
    <n v="6654.84"/>
    <n v="3300"/>
    <n v="0"/>
    <n v="0"/>
    <n v="0"/>
    <n v="0"/>
    <n v="0"/>
    <n v="1500"/>
    <n v="0"/>
    <n v="0"/>
    <n v="1500"/>
    <n v="1500"/>
    <n v="6654.84"/>
    <n v="3300"/>
    <n v="0"/>
    <n v="0"/>
    <n v="0"/>
    <n v="0"/>
    <n v="0"/>
    <n v="0"/>
    <n v="1500"/>
    <n v="0"/>
    <n v="1037.46"/>
    <n v="1502.57"/>
    <n v="1668.12"/>
    <n v="7643.47"/>
    <n v="0"/>
    <n v="0"/>
    <n v="0"/>
    <n v="0"/>
    <n v="0"/>
    <n v="0"/>
    <n v="1459"/>
    <n v="41"/>
    <n v="1037.46"/>
    <n v="1502.57"/>
    <n v="1668.12"/>
    <n v="7643.47"/>
    <n v="0"/>
    <n v="0"/>
    <n v="0"/>
    <n v="0"/>
    <n v="0"/>
    <x v="0"/>
    <x v="68"/>
    <x v="68"/>
    <x v="1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10. ATENCION ESPECIALIZADA DE LA SALUD"/>
    <s v="20. SALUD"/>
    <s v="044. SALUD INDIVIDUAL"/>
    <s v="0097. ATENCION MEDICA ESPECIALIZADA"/>
    <s v="00001"/>
    <s v="0023484. ATENCION MEDICA ESPECIALIZADA"/>
    <s v="00006 - ATENCION"/>
    <n v="150000"/>
    <n v="75000"/>
    <n v="26347"/>
    <n v="26347"/>
    <x v="34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119946"/>
    <n v="-17443"/>
    <n v="102503"/>
    <n v="34526.03"/>
    <n v="34526.03"/>
    <n v="1300"/>
    <n v="1300"/>
    <n v="1300"/>
    <n v="11138.93"/>
    <n v="8687.1"/>
    <n v="7700"/>
    <n v="3100"/>
    <n v="0"/>
    <n v="0"/>
    <n v="0"/>
    <n v="0"/>
    <n v="0"/>
    <n v="1300"/>
    <n v="1300"/>
    <n v="1300"/>
    <n v="11138.93"/>
    <n v="8687.1"/>
    <n v="7700"/>
    <n v="3100"/>
    <n v="0"/>
    <n v="0"/>
    <n v="0"/>
    <n v="0"/>
    <n v="0"/>
    <n v="0"/>
    <n v="1138.93"/>
    <n v="2431"/>
    <n v="9165.66"/>
    <n v="8957.99"/>
    <n v="7815.89"/>
    <n v="4443"/>
    <n v="0"/>
    <n v="0"/>
    <n v="0"/>
    <n v="0"/>
    <n v="0"/>
    <n v="0"/>
    <n v="1138.93"/>
    <n v="2411"/>
    <n v="9165.66"/>
    <n v="8977.99"/>
    <n v="7815.89"/>
    <n v="4443"/>
    <n v="0"/>
    <n v="0"/>
    <n v="0"/>
    <n v="0"/>
    <n v="0"/>
    <x v="0"/>
    <x v="68"/>
    <x v="68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286. VIGILANCIA Y CONTROL EPIDEMIOLOGICO"/>
    <s v="20. SALUD"/>
    <s v="043. SALUD COLECTIVA"/>
    <s v="0093. REGULACION Y CONTROL SANITARIO"/>
    <s v="00001"/>
    <s v="0000281. ATENCION SANITARIA"/>
    <s v="00001 - ACCION"/>
    <n v="10"/>
    <n v="0"/>
    <n v="4"/>
    <n v="4"/>
    <x v="93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28850"/>
    <n v="-14384"/>
    <n v="14466"/>
    <n v="5200"/>
    <n v="5200"/>
    <n v="0"/>
    <n v="0"/>
    <n v="0"/>
    <n v="1300"/>
    <n v="1300"/>
    <n v="1300"/>
    <n v="1300"/>
    <n v="0"/>
    <n v="0"/>
    <n v="0"/>
    <n v="0"/>
    <n v="0"/>
    <n v="0"/>
    <n v="0"/>
    <n v="0"/>
    <n v="1300"/>
    <n v="1300"/>
    <n v="1300"/>
    <n v="1300"/>
    <n v="0"/>
    <n v="0"/>
    <n v="0"/>
    <n v="0"/>
    <n v="0"/>
    <n v="0"/>
    <n v="0"/>
    <n v="0"/>
    <n v="1033.74"/>
    <n v="1300"/>
    <n v="1300"/>
    <n v="1300"/>
    <n v="0"/>
    <n v="0"/>
    <n v="0"/>
    <n v="0"/>
    <n v="0"/>
    <n v="0"/>
    <n v="0"/>
    <n v="0"/>
    <n v="1033.74"/>
    <n v="1300"/>
    <n v="1300"/>
    <n v="1300"/>
    <n v="0"/>
    <n v="0"/>
    <n v="0"/>
    <n v="0"/>
    <n v="0"/>
    <x v="0"/>
    <x v="68"/>
    <x v="68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2. ATENCION EN CONSULTAS EXTERNAS"/>
    <s v="20. SALUD"/>
    <s v="044. SALUD INDIVIDUAL"/>
    <s v="0097. ATENCION MEDICA ESPECIALIZADA"/>
    <s v="00001"/>
    <s v="0000266. ATENCION EN CONSULTAS EXTERNAS"/>
    <s v="00006 - ATENCION"/>
    <n v="150000"/>
    <n v="75000"/>
    <n v="31583"/>
    <n v="31583"/>
    <x v="35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15600"/>
    <n v="0"/>
    <n v="15600"/>
    <n v="5200"/>
    <n v="5200"/>
    <n v="0"/>
    <n v="0"/>
    <n v="0"/>
    <n v="1300"/>
    <n v="1300"/>
    <n v="1300"/>
    <n v="1300"/>
    <n v="0"/>
    <n v="0"/>
    <n v="0"/>
    <n v="0"/>
    <n v="0"/>
    <n v="0"/>
    <n v="0"/>
    <n v="0"/>
    <n v="1300"/>
    <n v="1300"/>
    <n v="1300"/>
    <n v="1300"/>
    <n v="0"/>
    <n v="0"/>
    <n v="0"/>
    <n v="0"/>
    <n v="0"/>
    <n v="0"/>
    <n v="0"/>
    <n v="0"/>
    <n v="1131"/>
    <n v="1300"/>
    <n v="1300"/>
    <n v="1300"/>
    <n v="0"/>
    <n v="0"/>
    <n v="0"/>
    <n v="0"/>
    <n v="0"/>
    <n v="0"/>
    <n v="0"/>
    <n v="0"/>
    <n v="1131"/>
    <n v="1300"/>
    <n v="1300"/>
    <n v="1300"/>
    <n v="0"/>
    <n v="0"/>
    <n v="0"/>
    <n v="0"/>
    <n v="0"/>
    <x v="0"/>
    <x v="68"/>
    <x v="68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630288"/>
    <n v="-420160"/>
    <n v="210128"/>
    <n v="106459.85"/>
    <n v="106459.85"/>
    <n v="14550"/>
    <n v="14459.85"/>
    <n v="13250"/>
    <n v="16050"/>
    <n v="15237.1"/>
    <n v="16862.900000000001"/>
    <n v="16050"/>
    <n v="0"/>
    <n v="0"/>
    <n v="0"/>
    <n v="0"/>
    <n v="0"/>
    <n v="14550"/>
    <n v="14459.85"/>
    <n v="13250"/>
    <n v="16050"/>
    <n v="15237.1"/>
    <n v="16862.900000000001"/>
    <n v="16050"/>
    <n v="0"/>
    <n v="0"/>
    <n v="0"/>
    <n v="0"/>
    <n v="0"/>
    <n v="0"/>
    <n v="15759.85"/>
    <n v="23621.07"/>
    <n v="15224.49"/>
    <n v="15623.3"/>
    <n v="16776.98"/>
    <n v="16155.63"/>
    <n v="0"/>
    <n v="0"/>
    <n v="0"/>
    <n v="0"/>
    <n v="0"/>
    <n v="0"/>
    <n v="15759.85"/>
    <n v="23621.07"/>
    <n v="15224.49"/>
    <n v="15623.3"/>
    <n v="16776.98"/>
    <n v="16155.63"/>
    <n v="0"/>
    <n v="0"/>
    <n v="0"/>
    <n v="0"/>
    <n v="0"/>
    <x v="0"/>
    <x v="68"/>
    <x v="68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6. OTRAS ATENCIONES DE SALUD ESPECIALIZADAS"/>
    <s v="20. SALUD"/>
    <s v="044. SALUD INDIVIDUAL"/>
    <s v="0097. ATENCION MEDICA ESPECIALIZADA"/>
    <s v="00001"/>
    <s v="0023484. ATENCION MEDICA ESPECIALIZADA"/>
    <s v="00006 - ATENCION"/>
    <n v="25000"/>
    <n v="12500"/>
    <n v="11000"/>
    <n v="11000"/>
    <x v="38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80400"/>
    <n v="-59159"/>
    <n v="21241"/>
    <n v="5200"/>
    <n v="5200"/>
    <n v="0"/>
    <n v="0"/>
    <n v="0"/>
    <n v="1300"/>
    <n v="1300"/>
    <n v="1300"/>
    <n v="1300"/>
    <n v="0"/>
    <n v="0"/>
    <n v="0"/>
    <n v="0"/>
    <n v="0"/>
    <n v="0"/>
    <n v="0"/>
    <n v="0"/>
    <n v="1300"/>
    <n v="1300"/>
    <n v="1300"/>
    <n v="1300"/>
    <n v="0"/>
    <n v="0"/>
    <n v="0"/>
    <n v="0"/>
    <n v="0"/>
    <n v="0"/>
    <n v="0"/>
    <n v="0"/>
    <n v="1143.74"/>
    <n v="1300"/>
    <n v="1300"/>
    <n v="1300"/>
    <n v="0"/>
    <n v="0"/>
    <n v="0"/>
    <n v="0"/>
    <n v="0"/>
    <n v="0"/>
    <n v="0"/>
    <n v="0"/>
    <n v="1143.74"/>
    <n v="1300"/>
    <n v="1300"/>
    <n v="1300"/>
    <n v="0"/>
    <n v="0"/>
    <n v="0"/>
    <n v="0"/>
    <n v="0"/>
    <x v="0"/>
    <x v="68"/>
    <x v="68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2197. PRESTACIONES ADMINISTRATIVAS SUBSIDIADAS/NO TARIFADO"/>
    <s v="20. SALUD"/>
    <s v="044. SALUD INDIVIDUAL"/>
    <s v="0097. ATENCION MEDICA ESPECIALIZADA"/>
    <s v="00001"/>
    <s v="0002088. SEGURO INTEGRAL DE SALUD"/>
    <s v="00006 - ATENCION"/>
    <n v="50000"/>
    <n v="25000"/>
    <n v="26500"/>
    <n v="26500"/>
    <x v="40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471600"/>
    <n v="2205"/>
    <n v="473805"/>
    <n v="249654.29"/>
    <n v="249654.29"/>
    <n v="19471.23"/>
    <n v="18651.62"/>
    <n v="36368"/>
    <n v="42423.44"/>
    <n v="43880"/>
    <n v="44030"/>
    <n v="44830"/>
    <n v="0"/>
    <n v="0"/>
    <n v="0"/>
    <n v="0"/>
    <n v="0"/>
    <n v="19471.23"/>
    <n v="18651.62"/>
    <n v="36368"/>
    <n v="42423.44"/>
    <n v="43880"/>
    <n v="44030"/>
    <n v="44830"/>
    <n v="0"/>
    <n v="0"/>
    <n v="0"/>
    <n v="0"/>
    <n v="0"/>
    <n v="0"/>
    <n v="19754.849999999999"/>
    <n v="46114.46"/>
    <n v="38305.79"/>
    <n v="46961.51"/>
    <n v="39784.879999999997"/>
    <n v="48724.62"/>
    <n v="0"/>
    <n v="0"/>
    <n v="0"/>
    <n v="0"/>
    <n v="0"/>
    <n v="0"/>
    <n v="16970.900000000001"/>
    <n v="48898.41"/>
    <n v="38305.79"/>
    <n v="46961.51"/>
    <n v="39784.879999999997"/>
    <n v="48724.62"/>
    <n v="0"/>
    <n v="0"/>
    <n v="0"/>
    <n v="0"/>
    <n v="0"/>
    <x v="0"/>
    <x v="68"/>
    <x v="68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21551109"/>
    <n v="-4208448"/>
    <n v="17342661"/>
    <n v="16302141"/>
    <n v="16302141"/>
    <n v="1157750.22"/>
    <n v="1180812.71"/>
    <n v="1173412.8799999999"/>
    <n v="1145042.6499999999"/>
    <n v="1179605.25"/>
    <n v="1427295.62"/>
    <n v="1389136.43"/>
    <n v="0"/>
    <n v="0"/>
    <n v="0"/>
    <n v="0"/>
    <n v="0"/>
    <n v="1157750.22"/>
    <n v="1180812.71"/>
    <n v="1173412.8799999999"/>
    <n v="1145042.6499999999"/>
    <n v="1179605.25"/>
    <n v="1427295.62"/>
    <n v="1389136.43"/>
    <n v="0"/>
    <n v="0"/>
    <n v="0"/>
    <n v="0"/>
    <n v="0"/>
    <n v="0"/>
    <n v="1169491.49"/>
    <n v="2111953.59"/>
    <n v="1039195.99"/>
    <n v="1298556.56"/>
    <n v="1082249.52"/>
    <n v="1676414.36"/>
    <n v="0"/>
    <n v="0"/>
    <n v="0"/>
    <n v="0"/>
    <n v="0"/>
    <n v="0"/>
    <n v="1141276.3600000001"/>
    <n v="2112287.96"/>
    <n v="1044894.9"/>
    <n v="1316747.1299999999"/>
    <n v="1084674.8"/>
    <n v="1674992.36"/>
    <n v="0"/>
    <n v="0"/>
    <n v="0"/>
    <n v="0"/>
    <n v="0"/>
    <x v="0"/>
    <x v="68"/>
    <x v="68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2768"/>
    <n v="1384"/>
    <n v="1400"/>
    <n v="1400"/>
    <x v="48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2447229"/>
    <n v="5544130"/>
    <n v="7991359"/>
    <n v="7991359"/>
    <n v="7991359"/>
    <n v="1087553.29"/>
    <n v="1258036.0900000001"/>
    <n v="1257635.8600000001"/>
    <n v="1434892.08"/>
    <n v="1416038.89"/>
    <n v="0"/>
    <n v="0"/>
    <n v="0"/>
    <n v="0"/>
    <n v="0"/>
    <n v="0"/>
    <n v="0"/>
    <n v="1087553.29"/>
    <n v="1258036.0900000001"/>
    <n v="1257635.8600000001"/>
    <n v="1434892.08"/>
    <n v="1416038.89"/>
    <n v="0"/>
    <n v="0"/>
    <n v="0"/>
    <n v="0"/>
    <n v="0"/>
    <n v="0"/>
    <n v="0"/>
    <n v="0"/>
    <n v="1100300.93"/>
    <n v="1959669.53"/>
    <n v="1222129.94"/>
    <n v="1874459.43"/>
    <n v="259216"/>
    <n v="1333.33"/>
    <n v="0"/>
    <n v="0"/>
    <n v="0"/>
    <n v="0"/>
    <n v="0"/>
    <n v="0"/>
    <n v="997976.06"/>
    <n v="2046438.99"/>
    <n v="1213258.4099999999"/>
    <n v="1874912.87"/>
    <n v="253920.6"/>
    <n v="0"/>
    <n v="0"/>
    <n v="0"/>
    <n v="0"/>
    <n v="0"/>
    <n v="0"/>
    <x v="0"/>
    <x v="68"/>
    <x v="68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881."/>
    <s v="5.ACTIVIDAD"/>
    <s v="5005193. TRATAMIENTO CON INTERNAMIENTO DE PACIENTES CON TRASTORNO DEL COMPORTAMIENTO DEBIDO AL CONSUMO DE ALCOHOL"/>
    <s v="20. SALUD"/>
    <s v="044. SALUD INDIVIDUAL"/>
    <s v="0097. ATENCION MEDICA ESPECIALIZADA"/>
    <s v="00001"/>
    <s v="0136785. TRATAMIENTO CON INTERNAMIENTO DE PACIENTES CON TRASTORNO DEL COMPORTAMIENTO DEBIDO AL CONSUMO DE ALCOHOL"/>
    <s v="00394 - TECNICO"/>
    <n v="30"/>
    <n v="15"/>
    <n v="15"/>
    <n v="15"/>
    <x v="131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RECURSOS ORDINARIOS"/>
    <n v="0"/>
    <n v="275400"/>
    <n v="275400"/>
    <n v="113170.97"/>
    <n v="113170.97"/>
    <n v="0"/>
    <n v="0"/>
    <n v="23100"/>
    <n v="23100"/>
    <n v="19800"/>
    <n v="19800"/>
    <n v="27370.97"/>
    <n v="0"/>
    <n v="0"/>
    <n v="0"/>
    <n v="0"/>
    <n v="0"/>
    <n v="0"/>
    <n v="0"/>
    <n v="23100"/>
    <n v="23100"/>
    <n v="19800"/>
    <n v="19800"/>
    <n v="27370.97"/>
    <n v="0"/>
    <n v="0"/>
    <n v="0"/>
    <n v="0"/>
    <n v="0"/>
    <n v="0"/>
    <n v="0"/>
    <n v="18350.97"/>
    <n v="23100"/>
    <n v="22043.01"/>
    <n v="19800"/>
    <n v="25994.81"/>
    <n v="0"/>
    <n v="0"/>
    <n v="0"/>
    <n v="0"/>
    <n v="0"/>
    <n v="0"/>
    <n v="0"/>
    <n v="18350.97"/>
    <n v="23100"/>
    <n v="22043.01"/>
    <n v="19800"/>
    <n v="25994.81"/>
    <n v="0"/>
    <n v="0"/>
    <n v="0"/>
    <n v="0"/>
    <n v="0"/>
    <x v="0"/>
    <x v="68"/>
    <x v="68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001."/>
    <s v="5.ACTIVIDAD"/>
    <s v="5004426. MONITOREO, SUPERVISION, EVALUACION Y CONTROL DEL PROGRAMA ARTICULADO NUTRICIONAL"/>
    <s v="20. SALUD"/>
    <s v="004. PLANEAMIENTO GUBERNAMENTAL"/>
    <s v="0005. PLANEAMIENTO INSTITUCIONAL"/>
    <s v="00001"/>
    <s v="0044276. MONITOREO, SUPERVISION, EVALUACION Y CONTROL DEL PROGRAMA ARTICULADO NUTRICIONAL"/>
    <s v="00060 - INFORME"/>
    <n v="4"/>
    <n v="2"/>
    <n v="2"/>
    <n v="2"/>
    <x v="51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696"/>
    <n v="-54"/>
    <n v="642"/>
    <n v="642"/>
    <n v="642"/>
    <n v="480"/>
    <n v="162"/>
    <n v="0"/>
    <n v="0"/>
    <n v="0"/>
    <n v="0"/>
    <n v="0"/>
    <n v="0"/>
    <n v="0"/>
    <n v="0"/>
    <n v="0"/>
    <n v="0"/>
    <n v="480"/>
    <n v="162"/>
    <n v="0"/>
    <n v="0"/>
    <n v="0"/>
    <n v="0"/>
    <n v="0"/>
    <n v="0"/>
    <n v="0"/>
    <n v="0"/>
    <n v="0"/>
    <n v="0"/>
    <n v="0"/>
    <n v="480"/>
    <n v="162"/>
    <n v="0"/>
    <n v="0"/>
    <n v="0"/>
    <n v="0"/>
    <n v="0"/>
    <n v="0"/>
    <n v="0"/>
    <n v="0"/>
    <n v="0"/>
    <n v="0"/>
    <n v="480"/>
    <n v="162"/>
    <n v="0"/>
    <n v="0"/>
    <n v="0"/>
    <n v="0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254."/>
    <s v="5.ACTIVIDAD"/>
    <s v="5000017. APLICACION DE VACUNAS COMPLETAS"/>
    <s v="20. SALUD"/>
    <s v="044. SALUD INDIVIDUAL"/>
    <s v="0096. ATENCION MEDICA BASICA"/>
    <s v="00001"/>
    <s v="0033254. NIÑOS CON VACUNA COMPLETA"/>
    <s v="00218 - NIÑO PROTEGIDO"/>
    <n v="3576"/>
    <n v="1788"/>
    <n v="1160"/>
    <n v="1160"/>
    <x v="59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2345"/>
    <n v="1012"/>
    <n v="3357"/>
    <n v="2345"/>
    <n v="2345"/>
    <n v="513"/>
    <n v="513"/>
    <n v="513"/>
    <n v="0"/>
    <n v="806"/>
    <n v="0"/>
    <n v="0"/>
    <n v="0"/>
    <n v="0"/>
    <n v="0"/>
    <n v="0"/>
    <n v="0"/>
    <n v="513"/>
    <n v="513"/>
    <n v="513"/>
    <n v="0"/>
    <n v="806"/>
    <n v="0"/>
    <n v="0"/>
    <n v="0"/>
    <n v="0"/>
    <n v="0"/>
    <n v="0"/>
    <n v="0"/>
    <n v="0"/>
    <n v="513"/>
    <n v="513"/>
    <n v="513"/>
    <n v="0"/>
    <n v="806"/>
    <n v="0"/>
    <n v="0"/>
    <n v="0"/>
    <n v="0"/>
    <n v="0"/>
    <n v="0"/>
    <n v="0"/>
    <n v="513"/>
    <n v="513"/>
    <n v="513"/>
    <n v="0"/>
    <n v="806"/>
    <n v="0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255."/>
    <s v="5.ACTIVIDAD"/>
    <s v="5000018. ATENCION A NIÑOS CON CRECIMIENTO Y DESARROLLO - CRED COMPLETO PARA SU EDAD"/>
    <s v="20. SALUD"/>
    <s v="044. SALUD INDIVIDUAL"/>
    <s v="0096. ATENCION MEDICA BASICA"/>
    <s v="00001"/>
    <s v="0033255. NIÑOS CON CRED COMPLETO SEGUN EDAD"/>
    <s v="00219 - NIÑO CONTROLADO"/>
    <n v="1501"/>
    <n v="750"/>
    <n v="0"/>
    <n v="0"/>
    <x v="53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2690"/>
    <n v="0"/>
    <n v="2690"/>
    <n v="2685.08"/>
    <n v="2685.08"/>
    <n v="1685"/>
    <n v="513"/>
    <n v="0"/>
    <n v="0"/>
    <n v="0"/>
    <n v="0"/>
    <n v="0"/>
    <n v="0"/>
    <n v="0"/>
    <n v="0"/>
    <n v="0"/>
    <n v="0"/>
    <n v="1685"/>
    <n v="513"/>
    <n v="0"/>
    <n v="0"/>
    <n v="0"/>
    <n v="0"/>
    <n v="0"/>
    <n v="0"/>
    <n v="0"/>
    <n v="0"/>
    <n v="0"/>
    <n v="0"/>
    <n v="0"/>
    <n v="1685"/>
    <n v="513"/>
    <n v="0"/>
    <n v="0"/>
    <n v="0"/>
    <n v="0"/>
    <n v="0"/>
    <n v="0"/>
    <n v="0"/>
    <n v="0"/>
    <n v="0"/>
    <n v="0"/>
    <n v="1685"/>
    <n v="513"/>
    <n v="0"/>
    <n v="0"/>
    <n v="0"/>
    <n v="0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00001."/>
    <s v="5.ACTIVIDAD"/>
    <s v="5004389. DESARROLLO DE NORMAS Y GUIAS TECNICAS EN SALUD MATERNO NEONATAL"/>
    <s v="20. SALUD"/>
    <s v="043. SALUD COLECTIVA"/>
    <s v="0093. REGULACION Y CONTROL SANITARIO"/>
    <s v="00001"/>
    <s v="0033287. DESARROLLO DE NORMAS Y GUIAS TECNICAS EN SALUD MATERNO NEONATAL"/>
    <s v="00080 - NORMA"/>
    <n v="2"/>
    <n v="1"/>
    <n v="0"/>
    <n v="0"/>
    <x v="7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1345"/>
    <n v="1674"/>
    <n v="3019"/>
    <n v="1345"/>
    <n v="1345"/>
    <n v="162"/>
    <n v="162"/>
    <n v="279"/>
    <n v="0"/>
    <n v="742"/>
    <n v="0"/>
    <n v="0"/>
    <n v="0"/>
    <n v="0"/>
    <n v="0"/>
    <n v="0"/>
    <n v="0"/>
    <n v="162"/>
    <n v="162"/>
    <n v="279"/>
    <n v="0"/>
    <n v="742"/>
    <n v="0"/>
    <n v="0"/>
    <n v="0"/>
    <n v="0"/>
    <n v="0"/>
    <n v="0"/>
    <n v="0"/>
    <n v="0"/>
    <n v="162"/>
    <n v="162"/>
    <n v="279"/>
    <n v="0"/>
    <n v="742"/>
    <n v="0"/>
    <n v="0"/>
    <n v="0"/>
    <n v="0"/>
    <n v="0"/>
    <n v="0"/>
    <n v="0"/>
    <n v="162"/>
    <n v="162"/>
    <n v="279"/>
    <n v="0"/>
    <n v="742"/>
    <n v="0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172."/>
    <s v="5.ACTIVIDAD"/>
    <s v="5000037. BRINDAR ATENCION PRENATAL REENFOCADA"/>
    <s v="20. SALUD"/>
    <s v="044. SALUD INDIVIDUAL"/>
    <s v="0096. ATENCION MEDICA BASICA"/>
    <s v="00001"/>
    <s v="0033172. ATENCION PRENATAL REENFOCADA"/>
    <s v="00058 - GESTANTE CONTROLADA"/>
    <n v="3140"/>
    <n v="1570"/>
    <n v="1605"/>
    <n v="1605"/>
    <x v="9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4155"/>
    <n v="1944"/>
    <n v="6099"/>
    <n v="4155"/>
    <n v="4155"/>
    <n v="720"/>
    <n v="720"/>
    <n v="720"/>
    <n v="1647"/>
    <n v="348"/>
    <n v="0"/>
    <n v="0"/>
    <n v="0"/>
    <n v="0"/>
    <n v="0"/>
    <n v="0"/>
    <n v="0"/>
    <n v="720"/>
    <n v="720"/>
    <n v="720"/>
    <n v="1647"/>
    <n v="348"/>
    <n v="0"/>
    <n v="0"/>
    <n v="0"/>
    <n v="0"/>
    <n v="0"/>
    <n v="0"/>
    <n v="0"/>
    <n v="0"/>
    <n v="720"/>
    <n v="720"/>
    <n v="720"/>
    <n v="1647"/>
    <n v="348"/>
    <n v="0"/>
    <n v="0"/>
    <n v="0"/>
    <n v="0"/>
    <n v="0"/>
    <n v="0"/>
    <n v="0"/>
    <n v="720"/>
    <n v="720"/>
    <n v="720"/>
    <n v="1647"/>
    <n v="348"/>
    <n v="0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5."/>
    <s v="5.ACTIVIDAD"/>
    <s v="5000045. BRINDAR ATENCION DE PARTO NORMAL"/>
    <s v="20. SALUD"/>
    <s v="044. SALUD INDIVIDUAL"/>
    <s v="0096. ATENCION MEDICA BASICA"/>
    <s v="00001"/>
    <s v="0033295. ATENCION DEL PARTO NORMAL"/>
    <s v="00208 - PARTO NORMAL"/>
    <n v="1400"/>
    <n v="700"/>
    <n v="447"/>
    <n v="447"/>
    <x v="11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2239"/>
    <n v="798"/>
    <n v="3037"/>
    <n v="2239"/>
    <n v="2239"/>
    <n v="558"/>
    <n v="776"/>
    <n v="776"/>
    <n v="0"/>
    <n v="129"/>
    <n v="0"/>
    <n v="0"/>
    <n v="0"/>
    <n v="0"/>
    <n v="0"/>
    <n v="0"/>
    <n v="0"/>
    <n v="558"/>
    <n v="776"/>
    <n v="776"/>
    <n v="0"/>
    <n v="129"/>
    <n v="0"/>
    <n v="0"/>
    <n v="0"/>
    <n v="0"/>
    <n v="0"/>
    <n v="0"/>
    <n v="0"/>
    <n v="0"/>
    <n v="558"/>
    <n v="776"/>
    <n v="776"/>
    <n v="0"/>
    <n v="129"/>
    <n v="0"/>
    <n v="0"/>
    <n v="0"/>
    <n v="0"/>
    <n v="0"/>
    <n v="0"/>
    <n v="0"/>
    <n v="558"/>
    <n v="776"/>
    <n v="776"/>
    <n v="0"/>
    <n v="129"/>
    <n v="0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7."/>
    <s v="5.ACTIVIDAD"/>
    <s v="5000047. BRINDAR ATENCION DEL PARTO COMPLICADO QUIRURGICO"/>
    <s v="20. SALUD"/>
    <s v="044. SALUD INDIVIDUAL"/>
    <s v="0097. ATENCION MEDICA ESPECIALIZADA"/>
    <s v="00001"/>
    <s v="0033297. ATENCION DEL PARTO COMPLICADO QUIRURGICO"/>
    <s v="00210 - CESAREA"/>
    <n v="1550"/>
    <n v="775"/>
    <n v="747"/>
    <n v="747"/>
    <x v="13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5956"/>
    <n v="2916"/>
    <n v="8872"/>
    <n v="5956"/>
    <n v="5956"/>
    <n v="648"/>
    <n v="544"/>
    <n v="544"/>
    <n v="3918.6"/>
    <n v="301.39999999999998"/>
    <n v="0"/>
    <n v="0"/>
    <n v="0"/>
    <n v="0"/>
    <n v="0"/>
    <n v="0"/>
    <n v="0"/>
    <n v="648"/>
    <n v="544"/>
    <n v="544"/>
    <n v="3918.6"/>
    <n v="301.39999999999998"/>
    <n v="0"/>
    <n v="0"/>
    <n v="0"/>
    <n v="0"/>
    <n v="0"/>
    <n v="0"/>
    <n v="0"/>
    <n v="0"/>
    <n v="648"/>
    <n v="544"/>
    <n v="544"/>
    <n v="3918.6"/>
    <n v="301.39999999999998"/>
    <n v="0"/>
    <n v="0"/>
    <n v="0"/>
    <n v="0"/>
    <n v="0"/>
    <n v="0"/>
    <n v="0"/>
    <n v="648"/>
    <n v="544"/>
    <n v="544"/>
    <n v="3918.6"/>
    <n v="301.39999999999998"/>
    <n v="0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8."/>
    <s v="5.ACTIVIDAD"/>
    <s v="5000048. ATENDER EL PUERPERIO"/>
    <s v="20. SALUD"/>
    <s v="044. SALUD INDIVIDUAL"/>
    <s v="0096. ATENCION MEDICA BASICA"/>
    <s v="00001"/>
    <s v="0033298. ATENCION DEL PUERPERIO"/>
    <s v="00628 - DELITO ATENDIDO"/>
    <n v="150"/>
    <n v="75"/>
    <n v="15"/>
    <n v="15"/>
    <x v="14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1674"/>
    <n v="1404"/>
    <n v="3078"/>
    <n v="1674"/>
    <n v="1674"/>
    <n v="396"/>
    <n v="396"/>
    <n v="396"/>
    <n v="0"/>
    <n v="486"/>
    <n v="0"/>
    <n v="0"/>
    <n v="0"/>
    <n v="0"/>
    <n v="0"/>
    <n v="0"/>
    <n v="0"/>
    <n v="396"/>
    <n v="396"/>
    <n v="396"/>
    <n v="0"/>
    <n v="486"/>
    <n v="0"/>
    <n v="0"/>
    <n v="0"/>
    <n v="0"/>
    <n v="0"/>
    <n v="0"/>
    <n v="0"/>
    <n v="0"/>
    <n v="396"/>
    <n v="396"/>
    <n v="396"/>
    <n v="0"/>
    <n v="486"/>
    <n v="0"/>
    <n v="0"/>
    <n v="0"/>
    <n v="0"/>
    <n v="0"/>
    <n v="0"/>
    <n v="0"/>
    <n v="396"/>
    <n v="396"/>
    <n v="396"/>
    <n v="0"/>
    <n v="486"/>
    <n v="0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0."/>
    <s v="5.ACTIVIDAD"/>
    <s v="5000050. ATENDER COMPLICACIONES OBSTETRICAS EN UNIDAD DE CUIDADOS INTENSIVOS"/>
    <s v="20. SALUD"/>
    <s v="044. SALUD INDIVIDUAL"/>
    <s v="0097. ATENCION MEDICA ESPECIALIZADA"/>
    <s v="00001"/>
    <s v="0033300. ATENCION OBSTETRICA EN UNIDAD DE CUIDADOS INTENSIVOS"/>
    <s v="00016 - CASO TRATADO"/>
    <n v="68"/>
    <n v="34"/>
    <n v="16"/>
    <n v="16"/>
    <x v="16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1674"/>
    <n v="1404"/>
    <n v="3078"/>
    <n v="1674"/>
    <n v="1674"/>
    <n v="279"/>
    <n v="201"/>
    <n v="201"/>
    <n v="0"/>
    <n v="993"/>
    <n v="0"/>
    <n v="0"/>
    <n v="0"/>
    <n v="0"/>
    <n v="0"/>
    <n v="0"/>
    <n v="0"/>
    <n v="279"/>
    <n v="201"/>
    <n v="201"/>
    <n v="0"/>
    <n v="993"/>
    <n v="0"/>
    <n v="0"/>
    <n v="0"/>
    <n v="0"/>
    <n v="0"/>
    <n v="0"/>
    <n v="0"/>
    <n v="0"/>
    <n v="279"/>
    <n v="201"/>
    <n v="201"/>
    <n v="0"/>
    <n v="993"/>
    <n v="0"/>
    <n v="0"/>
    <n v="0"/>
    <n v="0"/>
    <n v="0"/>
    <n v="0"/>
    <n v="0"/>
    <n v="279"/>
    <n v="201"/>
    <n v="201"/>
    <n v="0"/>
    <n v="993"/>
    <n v="0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4."/>
    <s v="5.ACTIVIDAD"/>
    <s v="5000052. MEJORAMIENTO DEL ACCESO AL SISTEMA DE REFERENCIA INSTITUCIONAL"/>
    <s v="20. SALUD"/>
    <s v="044. SALUD INDIVIDUAL"/>
    <s v="0096. ATENCION MEDICA BASICA"/>
    <s v="00001"/>
    <s v="0033304. ACCESO AL SISTEMA DE REFERENCIA INSTITUCIONAL"/>
    <s v="00214 - GESTANTE Y/O NEONATO REFERIDO"/>
    <n v="14"/>
    <n v="7"/>
    <n v="8"/>
    <n v="8"/>
    <x v="45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2790"/>
    <n v="1674"/>
    <n v="4464"/>
    <n v="2790"/>
    <n v="2790"/>
    <n v="441"/>
    <n v="441"/>
    <n v="441"/>
    <n v="1323"/>
    <n v="144"/>
    <n v="0"/>
    <n v="0"/>
    <n v="0"/>
    <n v="0"/>
    <n v="0"/>
    <n v="0"/>
    <n v="0"/>
    <n v="441"/>
    <n v="441"/>
    <n v="441"/>
    <n v="1323"/>
    <n v="144"/>
    <n v="0"/>
    <n v="0"/>
    <n v="0"/>
    <n v="0"/>
    <n v="0"/>
    <n v="0"/>
    <n v="0"/>
    <n v="0"/>
    <n v="441"/>
    <n v="441"/>
    <n v="441"/>
    <n v="1323"/>
    <n v="144"/>
    <n v="0"/>
    <n v="0"/>
    <n v="0"/>
    <n v="0"/>
    <n v="0"/>
    <n v="0"/>
    <n v="0"/>
    <n v="441"/>
    <n v="441"/>
    <n v="441"/>
    <n v="1323"/>
    <n v="144"/>
    <n v="0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5."/>
    <s v="5.ACTIVIDAD"/>
    <s v="5000053. ATENDER AL RECIEN NACIDO NORMAL"/>
    <s v="20. SALUD"/>
    <s v="044. SALUD INDIVIDUAL"/>
    <s v="0096. ATENCION MEDICA BASICA"/>
    <s v="00001"/>
    <s v="0033305. ATENCION DEL RECIEN NACIDO NORMAL"/>
    <s v="00239 - RECIEN NACIDO ATENDIDO"/>
    <n v="7546"/>
    <n v="3773"/>
    <n v="2820"/>
    <n v="2820"/>
    <x v="17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4590"/>
    <n v="702"/>
    <n v="5292"/>
    <n v="4590"/>
    <n v="4590"/>
    <n v="603"/>
    <n v="603"/>
    <n v="603"/>
    <n v="0"/>
    <n v="2781"/>
    <n v="0"/>
    <n v="0"/>
    <n v="0"/>
    <n v="0"/>
    <n v="0"/>
    <n v="0"/>
    <n v="0"/>
    <n v="603"/>
    <n v="603"/>
    <n v="603"/>
    <n v="0"/>
    <n v="2781"/>
    <n v="0"/>
    <n v="0"/>
    <n v="0"/>
    <n v="0"/>
    <n v="0"/>
    <n v="0"/>
    <n v="0"/>
    <n v="0"/>
    <n v="603"/>
    <n v="603"/>
    <n v="603"/>
    <n v="0"/>
    <n v="2781"/>
    <n v="0"/>
    <n v="0"/>
    <n v="0"/>
    <n v="0"/>
    <n v="0"/>
    <n v="0"/>
    <n v="0"/>
    <n v="603"/>
    <n v="603"/>
    <n v="603"/>
    <n v="0"/>
    <n v="2781"/>
    <n v="0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6."/>
    <s v="5.ACTIVIDAD"/>
    <s v="5000054. ATENDER AL RECIEN NACIDO CON COMPLICACIONES"/>
    <s v="20. SALUD"/>
    <s v="044. SALUD INDIVIDUAL"/>
    <s v="0097. ATENCION MEDICA ESPECIALIZADA"/>
    <s v="00001"/>
    <s v="0033306. ATENCION DEL RECIEN NACIDO CON COMPLICACIONES"/>
    <s v="00016 - CASO TRATADO"/>
    <n v="2469"/>
    <n v="1234"/>
    <n v="728"/>
    <n v="728"/>
    <x v="18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3888"/>
    <n v="1944"/>
    <n v="5832"/>
    <n v="3888"/>
    <n v="3888"/>
    <n v="486"/>
    <n v="486"/>
    <n v="486"/>
    <n v="2098.8000000000002"/>
    <n v="331.2"/>
    <n v="0"/>
    <n v="0"/>
    <n v="0"/>
    <n v="0"/>
    <n v="0"/>
    <n v="0"/>
    <n v="0"/>
    <n v="486"/>
    <n v="486"/>
    <n v="486"/>
    <n v="2098.8000000000002"/>
    <n v="331.2"/>
    <n v="0"/>
    <n v="0"/>
    <n v="0"/>
    <n v="0"/>
    <n v="0"/>
    <n v="0"/>
    <n v="0"/>
    <n v="0"/>
    <n v="486"/>
    <n v="486"/>
    <n v="486"/>
    <n v="2098.8000000000002"/>
    <n v="331.2"/>
    <n v="0"/>
    <n v="0"/>
    <n v="0"/>
    <n v="0"/>
    <n v="0"/>
    <n v="0"/>
    <n v="0"/>
    <n v="486"/>
    <n v="486"/>
    <n v="486"/>
    <n v="2098.8000000000002"/>
    <n v="331.2"/>
    <n v="0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7."/>
    <s v="5.ACTIVIDAD"/>
    <s v="5000055. ATENDER AL RECIEN NACIDO CON COMPLICACIONES QUE REQUIERE UNIDAD DE CUIDADOS INTENSIVOS NEONATALES - UCIN"/>
    <s v="20. SALUD"/>
    <s v="044. SALUD INDIVIDUAL"/>
    <s v="0097. ATENCION MEDICA ESPECIALIZADA"/>
    <s v="00001"/>
    <s v="0033307. ATENCION DEL RECIEN NACIDO CON COMPLICACIONES QUE REQUIERE UNIDAD DE CUIDADOS INTENSIVOS NEONATALES - UCIN"/>
    <s v="00016 - CASO TRATADO"/>
    <n v="1148"/>
    <n v="574"/>
    <n v="436"/>
    <n v="436"/>
    <x v="19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702"/>
    <n v="702"/>
    <n v="1404"/>
    <n v="702"/>
    <n v="702"/>
    <n v="117"/>
    <n v="117"/>
    <n v="117"/>
    <n v="0"/>
    <n v="351"/>
    <n v="0"/>
    <n v="0"/>
    <n v="0"/>
    <n v="0"/>
    <n v="0"/>
    <n v="0"/>
    <n v="0"/>
    <n v="117"/>
    <n v="117"/>
    <n v="117"/>
    <n v="0"/>
    <n v="351"/>
    <n v="0"/>
    <n v="0"/>
    <n v="0"/>
    <n v="0"/>
    <n v="0"/>
    <n v="0"/>
    <n v="0"/>
    <n v="0"/>
    <n v="117"/>
    <n v="117"/>
    <n v="117"/>
    <n v="0"/>
    <n v="351"/>
    <n v="0"/>
    <n v="0"/>
    <n v="0"/>
    <n v="0"/>
    <n v="0"/>
    <n v="0"/>
    <n v="0"/>
    <n v="117"/>
    <n v="117"/>
    <n v="117"/>
    <n v="0"/>
    <n v="351"/>
    <n v="0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12."/>
    <s v="5.ACTIVIDAD"/>
    <s v="5004436. DESPISTAJE DE TUBERCULOSIS EN SINTOMATICOS RESPIRATORIOS"/>
    <s v="20. SALUD"/>
    <s v="044. SALUD INDIVIDUAL"/>
    <s v="0096. ATENCION MEDICA BASICA"/>
    <s v="00001"/>
    <s v="0043962. DESPISTAJE DE TUBERCULOSIS EN SINTOMATICOS RESPIRATORIOS"/>
    <s v="00087 - PERSONA ATENDIDA"/>
    <n v="3212"/>
    <n v="1606"/>
    <n v="647.70000000000005"/>
    <n v="647.70000000000005"/>
    <x v="47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972"/>
    <n v="972"/>
    <n v="1944"/>
    <n v="972"/>
    <n v="972"/>
    <n v="162"/>
    <n v="162"/>
    <n v="162"/>
    <n v="0"/>
    <n v="486"/>
    <n v="0"/>
    <n v="0"/>
    <n v="0"/>
    <n v="0"/>
    <n v="0"/>
    <n v="0"/>
    <n v="0"/>
    <n v="162"/>
    <n v="162"/>
    <n v="162"/>
    <n v="0"/>
    <n v="486"/>
    <n v="0"/>
    <n v="0"/>
    <n v="0"/>
    <n v="0"/>
    <n v="0"/>
    <n v="0"/>
    <n v="0"/>
    <n v="0"/>
    <n v="162"/>
    <n v="162"/>
    <n v="162"/>
    <n v="0"/>
    <n v="486"/>
    <n v="0"/>
    <n v="0"/>
    <n v="0"/>
    <n v="0"/>
    <n v="0"/>
    <n v="0"/>
    <n v="0"/>
    <n v="162"/>
    <n v="162"/>
    <n v="162"/>
    <n v="0"/>
    <n v="486"/>
    <n v="0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68."/>
    <s v="5.ACTIVIDAD"/>
    <s v="5000078. BRINDAR A POBLACION CON INFECCIONES DE TRANSMISION SEXUAL TRATAMIENTO SEGUN GUIA CLINICAS"/>
    <s v="20. SALUD"/>
    <s v="044. SALUD INDIVIDUAL"/>
    <s v="0096. ATENCION MEDICA BASICA"/>
    <s v="00001"/>
    <s v="0136036. BRINDAR A POBLACION CON INFECCIONES DE TRANSMISION SEXUAL TRATAMIENTO SEGUN GUIA CLINICAS"/>
    <s v="00394 - TECNICO"/>
    <n v="400"/>
    <n v="200"/>
    <n v="39"/>
    <n v="39"/>
    <x v="97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1200"/>
    <n v="702"/>
    <n v="1902"/>
    <n v="1200"/>
    <n v="1200"/>
    <n v="279"/>
    <n v="279"/>
    <n v="279"/>
    <n v="0"/>
    <n v="363"/>
    <n v="0"/>
    <n v="0"/>
    <n v="0"/>
    <n v="0"/>
    <n v="0"/>
    <n v="0"/>
    <n v="0"/>
    <n v="279"/>
    <n v="279"/>
    <n v="279"/>
    <n v="0"/>
    <n v="363"/>
    <n v="0"/>
    <n v="0"/>
    <n v="0"/>
    <n v="0"/>
    <n v="0"/>
    <n v="0"/>
    <n v="0"/>
    <n v="0"/>
    <n v="279"/>
    <n v="279"/>
    <n v="279"/>
    <n v="0"/>
    <n v="363"/>
    <n v="0"/>
    <n v="0"/>
    <n v="0"/>
    <n v="0"/>
    <n v="0"/>
    <n v="0"/>
    <n v="0"/>
    <n v="279"/>
    <n v="279"/>
    <n v="279"/>
    <n v="0"/>
    <n v="363"/>
    <n v="0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71."/>
    <s v="5.ACTIVIDAD"/>
    <s v="5000081. BRINDAR TRATAMIENTO OPORTUNO A MUJERES GESTANTES REACTIVAS A SIFILIS Y SUS CONTACTOS Y RECIEN NACIDOS EXPUESTOS"/>
    <s v="20. SALUD"/>
    <s v="044. SALUD INDIVIDUAL"/>
    <s v="0096. ATENCION MEDICA BASICA"/>
    <s v="00001"/>
    <s v="0136040. BRINDAR TRATAMIENTO OPORTUNO A MUJERES GESTANTES REACTIVAS A SIFILIS Y SUS CONTACTOS Y RECIEN NACIDOS EXPUESTOS"/>
    <s v="00207 - GESTANTE ATENDIDA"/>
    <n v="7"/>
    <n v="4"/>
    <n v="4"/>
    <n v="4"/>
    <x v="106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1050"/>
    <n v="1674"/>
    <n v="2724"/>
    <n v="1050"/>
    <n v="1050"/>
    <n v="117"/>
    <n v="117"/>
    <n v="117"/>
    <n v="0"/>
    <n v="699"/>
    <n v="0"/>
    <n v="0"/>
    <n v="0"/>
    <n v="0"/>
    <n v="0"/>
    <n v="0"/>
    <n v="0"/>
    <n v="117"/>
    <n v="117"/>
    <n v="117"/>
    <n v="0"/>
    <n v="699"/>
    <n v="0"/>
    <n v="0"/>
    <n v="0"/>
    <n v="0"/>
    <n v="0"/>
    <n v="0"/>
    <n v="0"/>
    <n v="0"/>
    <n v="117"/>
    <n v="117"/>
    <n v="117"/>
    <n v="0"/>
    <n v="699"/>
    <n v="0"/>
    <n v="0"/>
    <n v="0"/>
    <n v="0"/>
    <n v="0"/>
    <n v="0"/>
    <n v="0"/>
    <n v="117"/>
    <n v="117"/>
    <n v="117"/>
    <n v="0"/>
    <n v="699"/>
    <n v="0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2."/>
    <s v="5.ACTIVIDAD"/>
    <s v="5000110. BRINDAR TRATAMIENTO A PACIENTES CON DIAGNOSTICO DE CATARATAS"/>
    <s v="20. SALUD"/>
    <s v="044. SALUD INDIVIDUAL"/>
    <s v="0097. ATENCION MEDICA ESPECIALIZADA"/>
    <s v="00001"/>
    <s v="0135994. BRINDAR TRATAMIENTO A PACIENTES CON DIAGNOSTICO DE CATARATAS"/>
    <s v="00394 - TECNICO"/>
    <n v="648"/>
    <n v="324"/>
    <n v="141"/>
    <n v="141"/>
    <x v="22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1345"/>
    <n v="1944"/>
    <n v="3289"/>
    <n v="1345"/>
    <n v="1345"/>
    <n v="324"/>
    <n v="324"/>
    <n v="324"/>
    <n v="0"/>
    <n v="373"/>
    <n v="0"/>
    <n v="0"/>
    <n v="0"/>
    <n v="0"/>
    <n v="0"/>
    <n v="0"/>
    <n v="0"/>
    <n v="324"/>
    <n v="324"/>
    <n v="324"/>
    <n v="0"/>
    <n v="373"/>
    <n v="0"/>
    <n v="0"/>
    <n v="0"/>
    <n v="0"/>
    <n v="0"/>
    <n v="0"/>
    <n v="0"/>
    <n v="0"/>
    <n v="324"/>
    <n v="324"/>
    <n v="324"/>
    <n v="0"/>
    <n v="373"/>
    <n v="0"/>
    <n v="0"/>
    <n v="0"/>
    <n v="0"/>
    <n v="0"/>
    <n v="0"/>
    <n v="0"/>
    <n v="324"/>
    <n v="324"/>
    <n v="324"/>
    <n v="0"/>
    <n v="373"/>
    <n v="0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7."/>
    <s v="5.ACTIVIDAD"/>
    <s v="5000115. BRINDAR TRATAMIENTO A PERSONAS CON DIAGNOSTICO DE DIABETES MELLITUS"/>
    <s v="20. SALUD"/>
    <s v="044. SALUD INDIVIDUAL"/>
    <s v="0097. ATENCION MEDICA ESPECIALIZADA"/>
    <s v="00001"/>
    <s v="0135999. BRINDAR TRATAMIENTO A PERSONAS CON DIAGNOSTICO DE DIABETES MELLITUS"/>
    <s v="00394 - TECNICO"/>
    <n v="2385"/>
    <n v="1192"/>
    <n v="1378"/>
    <n v="1378"/>
    <x v="108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972"/>
    <n v="972"/>
    <n v="1944"/>
    <n v="972"/>
    <n v="972"/>
    <n v="162"/>
    <n v="162"/>
    <n v="162"/>
    <n v="0"/>
    <n v="486"/>
    <n v="0"/>
    <n v="0"/>
    <n v="0"/>
    <n v="0"/>
    <n v="0"/>
    <n v="0"/>
    <n v="0"/>
    <n v="162"/>
    <n v="162"/>
    <n v="162"/>
    <n v="0"/>
    <n v="486"/>
    <n v="0"/>
    <n v="0"/>
    <n v="0"/>
    <n v="0"/>
    <n v="0"/>
    <n v="0"/>
    <n v="0"/>
    <n v="0"/>
    <n v="162"/>
    <n v="162"/>
    <n v="162"/>
    <n v="0"/>
    <n v="486"/>
    <n v="0"/>
    <n v="0"/>
    <n v="0"/>
    <n v="0"/>
    <n v="0"/>
    <n v="0"/>
    <n v="0"/>
    <n v="162"/>
    <n v="162"/>
    <n v="162"/>
    <n v="0"/>
    <n v="486"/>
    <n v="0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001."/>
    <s v="5.ACTIVIDAD"/>
    <s v="5004441. MONITOREO, SUPERVISION, EVALUACION Y CONTROL DE PREVENCION Y CONTROL DEL CANCER"/>
    <s v="20. SALUD"/>
    <s v="004. PLANEAMIENTO GUBERNAMENTAL"/>
    <s v="0005. PLANEAMIENTO INSTITUCIONAL"/>
    <s v="00001"/>
    <s v="0044192. MONITOREO, SUPERVISION, EVALUACION Y CONTROL DE PREVENCION Y CONTROL DEL CANCER"/>
    <s v="00060 - INFORME"/>
    <n v="6"/>
    <n v="3"/>
    <n v="3"/>
    <n v="3"/>
    <x v="128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1345"/>
    <n v="972"/>
    <n v="2317"/>
    <n v="1345"/>
    <n v="1345"/>
    <n v="0"/>
    <n v="0"/>
    <n v="0"/>
    <n v="999"/>
    <n v="346"/>
    <n v="0"/>
    <n v="0"/>
    <n v="0"/>
    <n v="0"/>
    <n v="0"/>
    <n v="0"/>
    <n v="0"/>
    <n v="0"/>
    <n v="0"/>
    <n v="0"/>
    <n v="999"/>
    <n v="346"/>
    <n v="0"/>
    <n v="0"/>
    <n v="0"/>
    <n v="0"/>
    <n v="0"/>
    <n v="0"/>
    <n v="0"/>
    <n v="0"/>
    <n v="0"/>
    <n v="0"/>
    <n v="0"/>
    <n v="999"/>
    <n v="346"/>
    <n v="0"/>
    <n v="0"/>
    <n v="0"/>
    <n v="0"/>
    <n v="0"/>
    <n v="0"/>
    <n v="0"/>
    <n v="0"/>
    <n v="0"/>
    <n v="0"/>
    <n v="999"/>
    <n v="346"/>
    <n v="0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001."/>
    <s v="5.ACTIVIDAD"/>
    <s v="5004442. DESARROLLO DE NORMAS Y GUIAS TECNICAS EN PREVENCION Y CONTROL DEL CANCER"/>
    <s v="20. SALUD"/>
    <s v="043. SALUD COLECTIVA"/>
    <s v="0093. REGULACION Y CONTROL SANITARIO"/>
    <s v="00001"/>
    <s v="0044193. DESARROLLO DE NORMAS Y GUIAS TECNICAS EN PREVENCION Y CONTROL DEL CANCER"/>
    <s v="00080 - NORMA"/>
    <n v="2"/>
    <n v="1"/>
    <n v="0"/>
    <n v="0"/>
    <x v="129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1345"/>
    <n v="507"/>
    <n v="1852"/>
    <n v="1149.99"/>
    <n v="1149.99"/>
    <n v="0"/>
    <n v="0"/>
    <n v="0"/>
    <n v="0"/>
    <n v="1032.99"/>
    <n v="117"/>
    <n v="0"/>
    <n v="0"/>
    <n v="0"/>
    <n v="0"/>
    <n v="0"/>
    <n v="0"/>
    <n v="0"/>
    <n v="0"/>
    <n v="0"/>
    <n v="0"/>
    <n v="1032.99"/>
    <n v="117"/>
    <n v="0"/>
    <n v="0"/>
    <n v="0"/>
    <n v="0"/>
    <n v="0"/>
    <n v="0"/>
    <n v="0"/>
    <n v="0"/>
    <n v="0"/>
    <n v="0"/>
    <n v="0"/>
    <n v="1032.99"/>
    <n v="117"/>
    <n v="0"/>
    <n v="0"/>
    <n v="0"/>
    <n v="0"/>
    <n v="0"/>
    <n v="0"/>
    <n v="0"/>
    <n v="0"/>
    <n v="0"/>
    <n v="0"/>
    <n v="1032.99"/>
    <n v="117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66."/>
    <s v="5.ACTIVIDAD"/>
    <s v="5006014. DIAGNOSTICO DEL CANCER DE MAMA"/>
    <s v="20. SALUD"/>
    <s v="044. SALUD INDIVIDUAL"/>
    <s v="0097. ATENCION MEDICA ESPECIALIZADA"/>
    <s v="00001"/>
    <s v="0215087. DIAGNOSTICO DEL CANCER DE MAMA"/>
    <s v="00393 - TASA"/>
    <n v="48"/>
    <n v="14"/>
    <n v="12"/>
    <n v="12"/>
    <x v="114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1200"/>
    <n v="0"/>
    <n v="1200"/>
    <n v="324"/>
    <n v="324"/>
    <n v="0"/>
    <n v="0"/>
    <n v="0"/>
    <n v="0"/>
    <n v="162"/>
    <n v="162"/>
    <n v="0"/>
    <n v="0"/>
    <n v="0"/>
    <n v="0"/>
    <n v="0"/>
    <n v="0"/>
    <n v="0"/>
    <n v="0"/>
    <n v="0"/>
    <n v="0"/>
    <n v="162"/>
    <n v="162"/>
    <n v="0"/>
    <n v="0"/>
    <n v="0"/>
    <n v="0"/>
    <n v="0"/>
    <n v="0"/>
    <n v="0"/>
    <n v="0"/>
    <n v="0"/>
    <n v="0"/>
    <n v="0"/>
    <n v="162"/>
    <n v="162"/>
    <n v="0"/>
    <n v="0"/>
    <n v="0"/>
    <n v="0"/>
    <n v="0"/>
    <n v="0"/>
    <n v="0"/>
    <n v="0"/>
    <n v="0"/>
    <n v="0"/>
    <n v="162"/>
    <n v="162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815."/>
    <s v="5.ACTIVIDAD"/>
    <s v="5006001. CONSEJERIA PARA PACIENTES DIAGNOSTICADOS CON CANCER"/>
    <s v="20. SALUD"/>
    <s v="044. SALUD INDIVIDUAL"/>
    <s v="0096. ATENCION MEDICA BASICA"/>
    <s v="00001"/>
    <s v="0215074. CONSEJERIA PARA PACIENTES DIAGNOSTICADOS CON CANCER"/>
    <s v="00259 - PERSONA INFORMADA"/>
    <n v="380"/>
    <n v="190"/>
    <n v="70"/>
    <n v="70"/>
    <x v="91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3240"/>
    <n v="837"/>
    <n v="4077"/>
    <n v="3105"/>
    <n v="3105"/>
    <n v="1134"/>
    <n v="1134"/>
    <n v="513"/>
    <n v="0"/>
    <n v="162"/>
    <n v="162"/>
    <n v="0"/>
    <n v="0"/>
    <n v="0"/>
    <n v="0"/>
    <n v="0"/>
    <n v="0"/>
    <n v="1134"/>
    <n v="1134"/>
    <n v="513"/>
    <n v="0"/>
    <n v="162"/>
    <n v="162"/>
    <n v="0"/>
    <n v="0"/>
    <n v="0"/>
    <n v="0"/>
    <n v="0"/>
    <n v="0"/>
    <n v="0"/>
    <n v="1134"/>
    <n v="1134"/>
    <n v="513"/>
    <n v="0"/>
    <n v="162"/>
    <n v="162"/>
    <n v="0"/>
    <n v="0"/>
    <n v="0"/>
    <n v="0"/>
    <n v="0"/>
    <n v="0"/>
    <n v="1134"/>
    <n v="1134"/>
    <n v="513"/>
    <n v="0"/>
    <n v="162"/>
    <n v="162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819."/>
    <s v="5.ACTIVIDAD"/>
    <s v="5006032. ATENCION CON CUIDADOS PALIATIVOS EN EL ESTABLECIMIENTO DE SALUD"/>
    <s v="20. SALUD"/>
    <s v="044. SALUD INDIVIDUAL"/>
    <s v="0097. ATENCION MEDICA ESPECIALIZADA"/>
    <s v="00001"/>
    <s v="0215105. ATENCION CON CUIDADOS PALIATIVOS EN EL ESTABLECIMIENTO DE SALUD"/>
    <s v="00087 - PERSONA ATENDIDA"/>
    <n v="456"/>
    <n v="228"/>
    <n v="48"/>
    <n v="48"/>
    <x v="130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4200"/>
    <n v="4064"/>
    <n v="8264"/>
    <n v="3943.8"/>
    <n v="3943.8"/>
    <n v="0"/>
    <n v="0"/>
    <n v="0"/>
    <n v="2971.8"/>
    <n v="486"/>
    <n v="486"/>
    <n v="0"/>
    <n v="0"/>
    <n v="0"/>
    <n v="0"/>
    <n v="0"/>
    <n v="0"/>
    <n v="0"/>
    <n v="0"/>
    <n v="0"/>
    <n v="2971.8"/>
    <n v="486"/>
    <n v="486"/>
    <n v="0"/>
    <n v="0"/>
    <n v="0"/>
    <n v="0"/>
    <n v="0"/>
    <n v="0"/>
    <n v="0"/>
    <n v="0"/>
    <n v="0"/>
    <n v="0"/>
    <n v="2971.8"/>
    <n v="486"/>
    <n v="486"/>
    <n v="0"/>
    <n v="0"/>
    <n v="0"/>
    <n v="0"/>
    <n v="0"/>
    <n v="0"/>
    <n v="0"/>
    <n v="0"/>
    <n v="0"/>
    <n v="2971.8"/>
    <n v="486"/>
    <n v="486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734."/>
    <s v="5.ACTIVIDAD"/>
    <s v="5005612. DESARROLLO DE LOS CENTROS Y ESPACIOS DE MONITOREO DE EMERGENCIAS Y DESASTRES"/>
    <s v="20. SALUD"/>
    <s v="016. GESTION DE RIESGOS Y EMERGENCIAS"/>
    <s v="0036. ATENCION INMEDIATA DE DESASTRES"/>
    <s v="00001"/>
    <s v="0160879. DESARROLLO DE LOS CENTROS Y ESPACIOS DE MONITOREO DE EMERGENCIAS Y DESASTRES"/>
    <s v="00248 - REPORTE"/>
    <n v="12"/>
    <n v="6"/>
    <n v="6"/>
    <n v="6"/>
    <x v="26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1345"/>
    <n v="833"/>
    <n v="2178"/>
    <n v="1206"/>
    <n v="1206"/>
    <n v="162"/>
    <n v="162"/>
    <n v="0"/>
    <n v="0"/>
    <n v="441"/>
    <n v="441"/>
    <n v="0"/>
    <n v="0"/>
    <n v="0"/>
    <n v="0"/>
    <n v="0"/>
    <n v="0"/>
    <n v="162"/>
    <n v="162"/>
    <n v="0"/>
    <n v="0"/>
    <n v="441"/>
    <n v="441"/>
    <n v="0"/>
    <n v="0"/>
    <n v="0"/>
    <n v="0"/>
    <n v="0"/>
    <n v="0"/>
    <n v="0"/>
    <n v="162"/>
    <n v="162"/>
    <n v="0"/>
    <n v="0"/>
    <n v="441"/>
    <n v="441"/>
    <n v="0"/>
    <n v="0"/>
    <n v="0"/>
    <n v="0"/>
    <n v="0"/>
    <n v="0"/>
    <n v="162"/>
    <n v="162"/>
    <n v="0"/>
    <n v="0"/>
    <n v="441"/>
    <n v="441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1. ATENCION DE TRIAJE"/>
    <s v="20. SALUD"/>
    <s v="044. SALUD INDIVIDUAL"/>
    <s v="0098. SERVICIOS DE DIAGNOSTICO Y TRATAMIENTO"/>
    <s v="00001"/>
    <s v="0188297. ATENCION DE TRIAJE"/>
    <s v="00006 - ATENCION"/>
    <n v="6000"/>
    <n v="3000"/>
    <n v="8247"/>
    <n v="8247"/>
    <x v="123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4709"/>
    <n v="0"/>
    <n v="4709"/>
    <n v="3699"/>
    <n v="3699"/>
    <n v="999"/>
    <n v="999"/>
    <n v="999"/>
    <n v="0"/>
    <n v="351"/>
    <n v="351"/>
    <n v="0"/>
    <n v="0"/>
    <n v="0"/>
    <n v="0"/>
    <n v="0"/>
    <n v="0"/>
    <n v="999"/>
    <n v="999"/>
    <n v="999"/>
    <n v="0"/>
    <n v="351"/>
    <n v="351"/>
    <n v="0"/>
    <n v="0"/>
    <n v="0"/>
    <n v="0"/>
    <n v="0"/>
    <n v="0"/>
    <n v="0"/>
    <n v="999"/>
    <n v="999"/>
    <n v="999"/>
    <n v="0"/>
    <n v="351"/>
    <n v="351"/>
    <n v="0"/>
    <n v="0"/>
    <n v="0"/>
    <n v="0"/>
    <n v="0"/>
    <n v="0"/>
    <n v="999"/>
    <n v="999"/>
    <n v="999"/>
    <n v="0"/>
    <n v="351"/>
    <n v="351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3. ATENCION DE LA EMERGENCIA Y URGENCIA ESPECIALIZADA"/>
    <s v="20. SALUD"/>
    <s v="044. SALUD INDIVIDUAL"/>
    <s v="0097. ATENCION MEDICA ESPECIALIZADA"/>
    <s v="00001"/>
    <s v="0188299. ATENCION DE LA EMERGENCIA Y URGENCIA ESPECIALIZADA"/>
    <s v="00006 - ATENCION"/>
    <n v="25000"/>
    <n v="12500"/>
    <n v="7470"/>
    <n v="7470"/>
    <x v="28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8068"/>
    <n v="9882"/>
    <n v="17950"/>
    <n v="8068"/>
    <n v="8068"/>
    <n v="0"/>
    <n v="0"/>
    <n v="999"/>
    <n v="6836.4"/>
    <n v="232.6"/>
    <n v="0"/>
    <n v="0"/>
    <n v="0"/>
    <n v="0"/>
    <n v="0"/>
    <n v="0"/>
    <n v="0"/>
    <n v="0"/>
    <n v="0"/>
    <n v="999"/>
    <n v="6836.4"/>
    <n v="232.6"/>
    <n v="0"/>
    <n v="0"/>
    <n v="0"/>
    <n v="0"/>
    <n v="0"/>
    <n v="0"/>
    <n v="0"/>
    <n v="0"/>
    <n v="0"/>
    <n v="0"/>
    <n v="999"/>
    <n v="6836.4"/>
    <n v="232.6"/>
    <n v="0"/>
    <n v="0"/>
    <n v="0"/>
    <n v="0"/>
    <n v="0"/>
    <n v="0"/>
    <n v="0"/>
    <n v="0"/>
    <n v="0"/>
    <n v="999"/>
    <n v="6836.4"/>
    <n v="232.6"/>
    <n v="0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4. ATENCION DE LA EMERGENCIA DE CUIDADOS INTENSIVOS"/>
    <s v="20. SALUD"/>
    <s v="044. SALUD INDIVIDUAL"/>
    <s v="0097. ATENCION MEDICA ESPECIALIZADA"/>
    <s v="00001"/>
    <s v="0188300. ATENCION DE LA EMERGENCIA DE CUIDADOS INTENSIVOS"/>
    <s v="00006 - ATENCION"/>
    <n v="400"/>
    <n v="200"/>
    <n v="128"/>
    <n v="128"/>
    <x v="29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2690"/>
    <n v="353"/>
    <n v="3043"/>
    <n v="2029.5"/>
    <n v="2029.5"/>
    <n v="0"/>
    <n v="0"/>
    <n v="0"/>
    <n v="1795.5"/>
    <n v="117"/>
    <n v="117"/>
    <n v="0"/>
    <n v="0"/>
    <n v="0"/>
    <n v="0"/>
    <n v="0"/>
    <n v="0"/>
    <n v="0"/>
    <n v="0"/>
    <n v="0"/>
    <n v="1795.5"/>
    <n v="117"/>
    <n v="117"/>
    <n v="0"/>
    <n v="0"/>
    <n v="0"/>
    <n v="0"/>
    <n v="0"/>
    <n v="0"/>
    <n v="0"/>
    <n v="0"/>
    <n v="0"/>
    <n v="0"/>
    <n v="1795.5"/>
    <n v="117"/>
    <n v="117"/>
    <n v="0"/>
    <n v="0"/>
    <n v="0"/>
    <n v="0"/>
    <n v="0"/>
    <n v="0"/>
    <n v="0"/>
    <n v="0"/>
    <n v="0"/>
    <n v="1795.5"/>
    <n v="117"/>
    <n v="117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5. ATENCION DE LA EMERGENCIA QUIRURGICA"/>
    <s v="20. SALUD"/>
    <s v="044. SALUD INDIVIDUAL"/>
    <s v="0097. ATENCION MEDICA ESPECIALIZADA"/>
    <s v="00001"/>
    <s v="0188301. ATENCION DE LA EMERGENCIA QUIRURGICA"/>
    <s v="00006 - ATENCION"/>
    <n v="3000"/>
    <n v="1500"/>
    <n v="1405"/>
    <n v="1405"/>
    <x v="30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6507"/>
    <n v="7505"/>
    <n v="14012"/>
    <n v="6393"/>
    <n v="6393"/>
    <n v="1161"/>
    <n v="999"/>
    <n v="999"/>
    <n v="3000"/>
    <n v="234"/>
    <n v="0"/>
    <n v="0"/>
    <n v="0"/>
    <n v="0"/>
    <n v="0"/>
    <n v="0"/>
    <n v="0"/>
    <n v="1161"/>
    <n v="999"/>
    <n v="999"/>
    <n v="3000"/>
    <n v="234"/>
    <n v="0"/>
    <n v="0"/>
    <n v="0"/>
    <n v="0"/>
    <n v="0"/>
    <n v="0"/>
    <n v="0"/>
    <n v="0"/>
    <n v="1161"/>
    <n v="999"/>
    <n v="999"/>
    <n v="3000"/>
    <n v="234"/>
    <n v="0"/>
    <n v="0"/>
    <n v="0"/>
    <n v="0"/>
    <n v="0"/>
    <n v="0"/>
    <n v="0"/>
    <n v="1161"/>
    <n v="999"/>
    <n v="999"/>
    <n v="3000"/>
    <n v="234"/>
    <n v="0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0"/>
    <s v=" ."/>
    <s v="3000688."/>
    <s v="5.ACTIVIDAD"/>
    <s v="5004449. CAPACITACION EN MEDICINA DE REHABILITACION"/>
    <s v="20. SALUD"/>
    <s v="044. SALUD INDIVIDUAL"/>
    <s v="0097. ATENCION MEDICA ESPECIALIZADA"/>
    <s v="00001"/>
    <s v="0136018. CAPACITACION EN MEDICINA DE REHABILITACION"/>
    <s v="00088 - PERSONA CAPACITADA"/>
    <n v="60"/>
    <n v="30"/>
    <n v="0"/>
    <n v="0"/>
    <x v="0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3955"/>
    <n v="3780"/>
    <n v="7735"/>
    <n v="3955"/>
    <n v="3955"/>
    <n v="1584"/>
    <n v="1467"/>
    <n v="513"/>
    <n v="0"/>
    <n v="391"/>
    <n v="0"/>
    <n v="0"/>
    <n v="0"/>
    <n v="0"/>
    <n v="0"/>
    <n v="0"/>
    <n v="0"/>
    <n v="1584"/>
    <n v="1467"/>
    <n v="513"/>
    <n v="0"/>
    <n v="391"/>
    <n v="0"/>
    <n v="0"/>
    <n v="0"/>
    <n v="0"/>
    <n v="0"/>
    <n v="0"/>
    <n v="0"/>
    <n v="0"/>
    <n v="1584"/>
    <n v="1467"/>
    <n v="513"/>
    <n v="0"/>
    <n v="391"/>
    <n v="0"/>
    <n v="0"/>
    <n v="0"/>
    <n v="0"/>
    <n v="0"/>
    <n v="0"/>
    <n v="0"/>
    <n v="1584"/>
    <n v="1467"/>
    <n v="513"/>
    <n v="0"/>
    <n v="391"/>
    <n v="0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698."/>
    <s v="5.ACTIVIDAD"/>
    <s v="5005188. TAMIZAJE DE PERSONAS CON TRASTORNOS MENTALES Y PROBLEMAS PSICOSOCIALES"/>
    <s v="20. SALUD"/>
    <s v="044. SALUD INDIVIDUAL"/>
    <s v="0096. ATENCION MEDICA BASICA"/>
    <s v="00001"/>
    <s v="0136780. TAMIZAJE DE PERSONAS CON TRASTORNOS MENTALES Y PROBLEMAS PSICOSOCIALES"/>
    <s v="00438 - PULGADAS"/>
    <n v="310"/>
    <n v="155"/>
    <n v="273"/>
    <n v="273"/>
    <x v="31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1300"/>
    <n v="0"/>
    <n v="1300"/>
    <n v="1262"/>
    <n v="1262"/>
    <n v="162"/>
    <n v="162"/>
    <n v="162"/>
    <n v="614"/>
    <n v="162"/>
    <n v="0"/>
    <n v="0"/>
    <n v="0"/>
    <n v="0"/>
    <n v="0"/>
    <n v="0"/>
    <n v="0"/>
    <n v="162"/>
    <n v="162"/>
    <n v="162"/>
    <n v="614"/>
    <n v="162"/>
    <n v="0"/>
    <n v="0"/>
    <n v="0"/>
    <n v="0"/>
    <n v="0"/>
    <n v="0"/>
    <n v="0"/>
    <n v="0"/>
    <n v="162"/>
    <n v="162"/>
    <n v="162"/>
    <n v="614"/>
    <n v="162"/>
    <n v="0"/>
    <n v="0"/>
    <n v="0"/>
    <n v="0"/>
    <n v="0"/>
    <n v="0"/>
    <n v="0"/>
    <n v="162"/>
    <n v="162"/>
    <n v="162"/>
    <n v="614"/>
    <n v="162"/>
    <n v="0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700."/>
    <s v="5.ACTIVIDAD"/>
    <s v="5005191. TRATAMIENTO CON INTERNAMIENTO DE PERSONAS CON TRASTORNOS AFECTIVOS Y DE ANSIEDAD"/>
    <s v="20. SALUD"/>
    <s v="044. SALUD INDIVIDUAL"/>
    <s v="0097. ATENCION MEDICA ESPECIALIZADA"/>
    <s v="00001"/>
    <s v="0136783. TRATAMIENTO CON INTERNAMIENTO DE PERSONAS CON TRASTORNOS AFECTIVOS Y DE ANSIEDAD"/>
    <s v="00394 - TECNICO"/>
    <n v="50"/>
    <n v="25"/>
    <n v="20"/>
    <n v="20"/>
    <x v="64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0"/>
    <n v="3014"/>
    <n v="3014"/>
    <n v="653.79999999999995"/>
    <n v="653.79999999999995"/>
    <n v="0"/>
    <n v="0"/>
    <n v="218"/>
    <n v="0"/>
    <n v="217.8"/>
    <n v="218"/>
    <n v="0"/>
    <n v="0"/>
    <n v="0"/>
    <n v="0"/>
    <n v="0"/>
    <n v="0"/>
    <n v="0"/>
    <n v="0"/>
    <n v="218"/>
    <n v="0"/>
    <n v="217.8"/>
    <n v="218"/>
    <n v="0"/>
    <n v="0"/>
    <n v="0"/>
    <n v="0"/>
    <n v="0"/>
    <n v="0"/>
    <n v="0"/>
    <n v="0"/>
    <n v="0"/>
    <n v="218"/>
    <n v="0"/>
    <n v="217.8"/>
    <n v="218"/>
    <n v="0"/>
    <n v="0"/>
    <n v="0"/>
    <n v="0"/>
    <n v="0"/>
    <n v="0"/>
    <n v="0"/>
    <n v="0"/>
    <n v="218"/>
    <n v="0"/>
    <n v="217.8"/>
    <n v="218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702."/>
    <s v="5.ACTIVIDAD"/>
    <s v="5005196. TRATAMIENTO CON INTERNAMIENTO DE PERSONAS CON SINDROME O TRASTORNO PSICOTICO"/>
    <s v="20. SALUD"/>
    <s v="044. SALUD INDIVIDUAL"/>
    <s v="0097. ATENCION MEDICA ESPECIALIZADA"/>
    <s v="00001"/>
    <s v="0136788. TRATAMIENTO CON INTERNAMIENTO DE PERSONAS CON SINDROME O TRASTORNO PSICOTICO"/>
    <s v="00394 - TECNICO"/>
    <n v="80"/>
    <n v="40"/>
    <n v="22"/>
    <n v="22"/>
    <x v="125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0"/>
    <n v="12916"/>
    <n v="12916"/>
    <n v="4773.8"/>
    <n v="4773.8"/>
    <n v="0"/>
    <n v="0"/>
    <n v="2358"/>
    <n v="0"/>
    <n v="1297.8"/>
    <n v="1118"/>
    <n v="0"/>
    <n v="0"/>
    <n v="0"/>
    <n v="0"/>
    <n v="0"/>
    <n v="0"/>
    <n v="0"/>
    <n v="0"/>
    <n v="2358"/>
    <n v="0"/>
    <n v="1297.8"/>
    <n v="1118"/>
    <n v="0"/>
    <n v="0"/>
    <n v="0"/>
    <n v="0"/>
    <n v="0"/>
    <n v="0"/>
    <n v="0"/>
    <n v="0"/>
    <n v="0"/>
    <n v="2358"/>
    <n v="0"/>
    <n v="1297.8"/>
    <n v="1118"/>
    <n v="0"/>
    <n v="0"/>
    <n v="0"/>
    <n v="0"/>
    <n v="0"/>
    <n v="0"/>
    <n v="0"/>
    <n v="0"/>
    <n v="2358"/>
    <n v="0"/>
    <n v="1297.8"/>
    <n v="1118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702."/>
    <s v="5.ACTIVIDAD"/>
    <s v="5005197. REHABILITACION PSICOSOCIAL DE PERSONAS CON SINDROME O TRASTORNO ESQUIZOFRENICO"/>
    <s v="20. SALUD"/>
    <s v="044. SALUD INDIVIDUAL"/>
    <s v="0097. ATENCION MEDICA ESPECIALIZADA"/>
    <s v="00001"/>
    <s v="0136789. REHABILITACION PSICOSOCIAL DE PERSONAS CON SINDROME O TRASTORNO ESQUIZOFRENICO"/>
    <s v="00087 - PERSONA ATENDIDA"/>
    <n v="2"/>
    <n v="1"/>
    <n v="1"/>
    <n v="1"/>
    <x v="126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1200"/>
    <n v="0"/>
    <n v="1200"/>
    <n v="617"/>
    <n v="617"/>
    <n v="0"/>
    <n v="617"/>
    <n v="0"/>
    <n v="0"/>
    <n v="0"/>
    <n v="0"/>
    <n v="0"/>
    <n v="0"/>
    <n v="0"/>
    <n v="0"/>
    <n v="0"/>
    <n v="0"/>
    <n v="0"/>
    <n v="617"/>
    <n v="0"/>
    <n v="0"/>
    <n v="0"/>
    <n v="0"/>
    <n v="0"/>
    <n v="0"/>
    <n v="0"/>
    <n v="0"/>
    <n v="0"/>
    <n v="0"/>
    <n v="0"/>
    <n v="0"/>
    <n v="617"/>
    <n v="0"/>
    <n v="0"/>
    <n v="0"/>
    <n v="0"/>
    <n v="0"/>
    <n v="0"/>
    <n v="0"/>
    <n v="0"/>
    <n v="0"/>
    <n v="0"/>
    <n v="0"/>
    <n v="617"/>
    <n v="0"/>
    <n v="0"/>
    <n v="0"/>
    <n v="0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27216"/>
    <n v="31238"/>
    <n v="58454"/>
    <n v="27216"/>
    <n v="27216"/>
    <n v="7675"/>
    <n v="5951"/>
    <n v="10412"/>
    <n v="0"/>
    <n v="3178"/>
    <n v="0"/>
    <n v="0"/>
    <n v="0"/>
    <n v="0"/>
    <n v="0"/>
    <n v="0"/>
    <n v="0"/>
    <n v="7675"/>
    <n v="5951"/>
    <n v="10412"/>
    <n v="0"/>
    <n v="3178"/>
    <n v="0"/>
    <n v="0"/>
    <n v="0"/>
    <n v="0"/>
    <n v="0"/>
    <n v="0"/>
    <n v="0"/>
    <n v="0"/>
    <n v="7675"/>
    <n v="5951"/>
    <n v="7080"/>
    <n v="0"/>
    <n v="3178"/>
    <n v="0"/>
    <n v="0"/>
    <n v="0"/>
    <n v="0"/>
    <n v="0"/>
    <n v="0"/>
    <n v="0"/>
    <n v="7675"/>
    <n v="5951"/>
    <n v="7080"/>
    <n v="0"/>
    <n v="3178"/>
    <n v="0"/>
    <n v="0"/>
    <n v="0"/>
    <n v="0"/>
    <n v="0"/>
    <n v="0"/>
    <x v="0"/>
    <x v="69"/>
    <x v="69"/>
    <x v="1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5. GESTION DE RECURSOS HUMANOS"/>
    <s v="20. SALUD"/>
    <s v="006. GESTION"/>
    <s v="0011. PREPARACION Y PERFECCIONAMIENTO DE RECURSOS HUMANOS"/>
    <s v="00001"/>
    <s v="0053571. GESTION DE RECURSOS HUMANOS"/>
    <s v="00001 - ACCION"/>
    <n v="2426"/>
    <n v="1213"/>
    <n v="124"/>
    <n v="124"/>
    <x v="3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4034"/>
    <n v="2510"/>
    <n v="6544"/>
    <n v="3995"/>
    <n v="3995"/>
    <n v="2703"/>
    <n v="1085"/>
    <n v="0"/>
    <n v="0"/>
    <n v="207"/>
    <n v="0"/>
    <n v="0"/>
    <n v="0"/>
    <n v="0"/>
    <n v="0"/>
    <n v="0"/>
    <n v="0"/>
    <n v="2703"/>
    <n v="1085"/>
    <n v="0"/>
    <n v="0"/>
    <n v="207"/>
    <n v="0"/>
    <n v="0"/>
    <n v="0"/>
    <n v="0"/>
    <n v="0"/>
    <n v="0"/>
    <n v="0"/>
    <n v="0"/>
    <n v="2703"/>
    <n v="1085"/>
    <n v="0"/>
    <n v="0"/>
    <n v="207"/>
    <n v="0"/>
    <n v="0"/>
    <n v="0"/>
    <n v="0"/>
    <n v="0"/>
    <n v="0"/>
    <n v="0"/>
    <n v="2703"/>
    <n v="1085"/>
    <n v="0"/>
    <n v="0"/>
    <n v="207"/>
    <n v="0"/>
    <n v="0"/>
    <n v="0"/>
    <n v="0"/>
    <n v="0"/>
    <n v="0"/>
    <x v="0"/>
    <x v="69"/>
    <x v="69"/>
    <x v="1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6. ACCIONES DE CONTROL Y AUDITORIA"/>
    <s v="20. SALUD"/>
    <s v="006. GESTION"/>
    <s v="0012. CONTROL INTERNO"/>
    <s v="00001"/>
    <s v="0023404. ACCIONES DE CONTROL Y AUDITORIA"/>
    <s v="00001 - ACCION"/>
    <n v="54"/>
    <n v="27"/>
    <n v="13"/>
    <n v="13"/>
    <x v="4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1345"/>
    <n v="842"/>
    <n v="2187"/>
    <n v="405"/>
    <n v="405"/>
    <n v="135"/>
    <n v="0"/>
    <n v="0"/>
    <n v="0"/>
    <n v="135"/>
    <n v="135"/>
    <n v="0"/>
    <n v="0"/>
    <n v="0"/>
    <n v="0"/>
    <n v="0"/>
    <n v="0"/>
    <n v="135"/>
    <n v="0"/>
    <n v="0"/>
    <n v="0"/>
    <n v="135"/>
    <n v="135"/>
    <n v="0"/>
    <n v="0"/>
    <n v="0"/>
    <n v="0"/>
    <n v="0"/>
    <n v="0"/>
    <n v="0"/>
    <n v="135"/>
    <n v="0"/>
    <n v="0"/>
    <n v="0"/>
    <n v="135"/>
    <n v="135"/>
    <n v="0"/>
    <n v="0"/>
    <n v="0"/>
    <n v="0"/>
    <n v="0"/>
    <n v="0"/>
    <n v="135"/>
    <n v="0"/>
    <n v="0"/>
    <n v="0"/>
    <n v="135"/>
    <n v="135"/>
    <n v="0"/>
    <n v="0"/>
    <n v="0"/>
    <n v="0"/>
    <n v="0"/>
    <x v="0"/>
    <x v="69"/>
    <x v="69"/>
    <x v="1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10. ATENCION ESPECIALIZADA DE LA SALUD"/>
    <s v="20. SALUD"/>
    <s v="044. SALUD INDIVIDUAL"/>
    <s v="0097. ATENCION MEDICA ESPECIALIZADA"/>
    <s v="00001"/>
    <s v="0023484. ATENCION MEDICA ESPECIALIZADA"/>
    <s v="00006 - ATENCION"/>
    <n v="150000"/>
    <n v="75000"/>
    <n v="26347"/>
    <n v="26347"/>
    <x v="34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2722"/>
    <n v="620"/>
    <n v="3342"/>
    <n v="1667.64"/>
    <n v="1667.64"/>
    <n v="117"/>
    <n v="117"/>
    <n v="117"/>
    <n v="0"/>
    <n v="702.64"/>
    <n v="614"/>
    <n v="0"/>
    <n v="0"/>
    <n v="0"/>
    <n v="0"/>
    <n v="0"/>
    <n v="0"/>
    <n v="117"/>
    <n v="117"/>
    <n v="117"/>
    <n v="0"/>
    <n v="702.64"/>
    <n v="614"/>
    <n v="0"/>
    <n v="0"/>
    <n v="0"/>
    <n v="0"/>
    <n v="0"/>
    <n v="0"/>
    <n v="0"/>
    <n v="117"/>
    <n v="117"/>
    <n v="117"/>
    <n v="0"/>
    <n v="702.64"/>
    <n v="614"/>
    <n v="0"/>
    <n v="0"/>
    <n v="0"/>
    <n v="0"/>
    <n v="0"/>
    <n v="0"/>
    <n v="117"/>
    <n v="117"/>
    <n v="117"/>
    <n v="0"/>
    <n v="702.64"/>
    <n v="614"/>
    <n v="0"/>
    <n v="0"/>
    <n v="0"/>
    <n v="0"/>
    <n v="0"/>
    <x v="0"/>
    <x v="69"/>
    <x v="69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286. VIGILANCIA Y CONTROL EPIDEMIOLOGICO"/>
    <s v="20. SALUD"/>
    <s v="043. SALUD COLECTIVA"/>
    <s v="0093. REGULACION Y CONTROL SANITARIO"/>
    <s v="00001"/>
    <s v="0000281. ATENCION SANITARIA"/>
    <s v="00001 - ACCION"/>
    <n v="10"/>
    <n v="0"/>
    <n v="4"/>
    <n v="4"/>
    <x v="93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1345"/>
    <n v="0"/>
    <n v="1345"/>
    <n v="234"/>
    <n v="234"/>
    <n v="0"/>
    <n v="0"/>
    <n v="0"/>
    <n v="0"/>
    <n v="117"/>
    <n v="117"/>
    <n v="0"/>
    <n v="0"/>
    <n v="0"/>
    <n v="0"/>
    <n v="0"/>
    <n v="0"/>
    <n v="0"/>
    <n v="0"/>
    <n v="0"/>
    <n v="0"/>
    <n v="117"/>
    <n v="117"/>
    <n v="0"/>
    <n v="0"/>
    <n v="0"/>
    <n v="0"/>
    <n v="0"/>
    <n v="0"/>
    <n v="0"/>
    <n v="0"/>
    <n v="0"/>
    <n v="0"/>
    <n v="0"/>
    <n v="117"/>
    <n v="117"/>
    <n v="0"/>
    <n v="0"/>
    <n v="0"/>
    <n v="0"/>
    <n v="0"/>
    <n v="0"/>
    <n v="0"/>
    <n v="0"/>
    <n v="0"/>
    <n v="0"/>
    <n v="117"/>
    <n v="117"/>
    <n v="0"/>
    <n v="0"/>
    <n v="0"/>
    <n v="0"/>
    <n v="0"/>
    <x v="0"/>
    <x v="69"/>
    <x v="69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2. ATENCION EN CONSULTAS EXTERNAS"/>
    <s v="20. SALUD"/>
    <s v="044. SALUD INDIVIDUAL"/>
    <s v="0097. ATENCION MEDICA ESPECIALIZADA"/>
    <s v="00001"/>
    <s v="0000266. ATENCION EN CONSULTAS EXTERNAS"/>
    <s v="00006 - ATENCION"/>
    <n v="150000"/>
    <n v="75000"/>
    <n v="31583"/>
    <n v="31583"/>
    <x v="35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1361"/>
    <n v="0"/>
    <n v="1361"/>
    <n v="234"/>
    <n v="234"/>
    <n v="0"/>
    <n v="0"/>
    <n v="0"/>
    <n v="0"/>
    <n v="117"/>
    <n v="117"/>
    <n v="0"/>
    <n v="0"/>
    <n v="0"/>
    <n v="0"/>
    <n v="0"/>
    <n v="0"/>
    <n v="0"/>
    <n v="0"/>
    <n v="0"/>
    <n v="0"/>
    <n v="117"/>
    <n v="117"/>
    <n v="0"/>
    <n v="0"/>
    <n v="0"/>
    <n v="0"/>
    <n v="0"/>
    <n v="0"/>
    <n v="0"/>
    <n v="0"/>
    <n v="0"/>
    <n v="0"/>
    <n v="0"/>
    <n v="117"/>
    <n v="117"/>
    <n v="0"/>
    <n v="0"/>
    <n v="0"/>
    <n v="0"/>
    <n v="0"/>
    <n v="0"/>
    <n v="0"/>
    <n v="0"/>
    <n v="0"/>
    <n v="0"/>
    <n v="117"/>
    <n v="117"/>
    <n v="0"/>
    <n v="0"/>
    <n v="0"/>
    <n v="0"/>
    <n v="0"/>
    <x v="0"/>
    <x v="69"/>
    <x v="69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33585"/>
    <n v="-4893"/>
    <n v="28692"/>
    <n v="9173.34"/>
    <n v="9173.34"/>
    <n v="1310"/>
    <n v="3799"/>
    <n v="1193"/>
    <n v="0"/>
    <n v="1371.34"/>
    <n v="1500"/>
    <n v="0"/>
    <n v="0"/>
    <n v="0"/>
    <n v="0"/>
    <n v="0"/>
    <n v="0"/>
    <n v="1310"/>
    <n v="3799"/>
    <n v="1193"/>
    <n v="0"/>
    <n v="1371.34"/>
    <n v="1500"/>
    <n v="0"/>
    <n v="0"/>
    <n v="0"/>
    <n v="0"/>
    <n v="0"/>
    <n v="0"/>
    <n v="0"/>
    <n v="1310"/>
    <n v="3799"/>
    <n v="1193"/>
    <n v="0"/>
    <n v="1371.34"/>
    <n v="1500"/>
    <n v="0"/>
    <n v="0"/>
    <n v="0"/>
    <n v="0"/>
    <n v="0"/>
    <n v="0"/>
    <n v="1310"/>
    <n v="3799"/>
    <n v="1193"/>
    <n v="0"/>
    <n v="1371.34"/>
    <n v="1500"/>
    <n v="0"/>
    <n v="0"/>
    <n v="0"/>
    <n v="0"/>
    <n v="0"/>
    <x v="0"/>
    <x v="69"/>
    <x v="69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6. OTRAS ATENCIONES DE SALUD ESPECIALIZADAS"/>
    <s v="20. SALUD"/>
    <s v="044. SALUD INDIVIDUAL"/>
    <s v="0097. ATENCION MEDICA ESPECIALIZADA"/>
    <s v="00001"/>
    <s v="0023484. ATENCION MEDICA ESPECIALIZADA"/>
    <s v="00006 - ATENCION"/>
    <n v="25000"/>
    <n v="12500"/>
    <n v="11000"/>
    <n v="11000"/>
    <x v="38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5444"/>
    <n v="-2376"/>
    <n v="3068"/>
    <n v="234"/>
    <n v="234"/>
    <n v="0"/>
    <n v="0"/>
    <n v="0"/>
    <n v="0"/>
    <n v="117"/>
    <n v="117"/>
    <n v="0"/>
    <n v="0"/>
    <n v="0"/>
    <n v="0"/>
    <n v="0"/>
    <n v="0"/>
    <n v="0"/>
    <n v="0"/>
    <n v="0"/>
    <n v="0"/>
    <n v="117"/>
    <n v="117"/>
    <n v="0"/>
    <n v="0"/>
    <n v="0"/>
    <n v="0"/>
    <n v="0"/>
    <n v="0"/>
    <n v="0"/>
    <n v="0"/>
    <n v="0"/>
    <n v="0"/>
    <n v="0"/>
    <n v="117"/>
    <n v="117"/>
    <n v="0"/>
    <n v="0"/>
    <n v="0"/>
    <n v="0"/>
    <n v="0"/>
    <n v="0"/>
    <n v="0"/>
    <n v="0"/>
    <n v="0"/>
    <n v="0"/>
    <n v="117"/>
    <n v="117"/>
    <n v="0"/>
    <n v="0"/>
    <n v="0"/>
    <n v="0"/>
    <n v="0"/>
    <x v="0"/>
    <x v="69"/>
    <x v="69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2197. PRESTACIONES ADMINISTRATIVAS SUBSIDIADAS/NO TARIFADO"/>
    <s v="20. SALUD"/>
    <s v="044. SALUD INDIVIDUAL"/>
    <s v="0097. ATENCION MEDICA ESPECIALIZADA"/>
    <s v="00001"/>
    <s v="0002088. SEGURO INTEGRAL DE SALUD"/>
    <s v="00006 - ATENCION"/>
    <n v="50000"/>
    <n v="25000"/>
    <n v="26500"/>
    <n v="26500"/>
    <x v="40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25856"/>
    <n v="9330"/>
    <n v="35186"/>
    <n v="11982"/>
    <n v="11982"/>
    <n v="1534"/>
    <n v="1435"/>
    <n v="1435"/>
    <n v="90"/>
    <n v="3789"/>
    <n v="3699"/>
    <n v="0"/>
    <n v="0"/>
    <n v="0"/>
    <n v="0"/>
    <n v="0"/>
    <n v="0"/>
    <n v="1534"/>
    <n v="1435"/>
    <n v="1435"/>
    <n v="90"/>
    <n v="3789"/>
    <n v="3699"/>
    <n v="0"/>
    <n v="0"/>
    <n v="0"/>
    <n v="0"/>
    <n v="0"/>
    <n v="0"/>
    <n v="0"/>
    <n v="1534"/>
    <n v="1435"/>
    <n v="1525"/>
    <n v="0"/>
    <n v="3789"/>
    <n v="3699"/>
    <n v="0"/>
    <n v="0"/>
    <n v="0"/>
    <n v="0"/>
    <n v="0"/>
    <n v="0"/>
    <n v="1534"/>
    <n v="1435"/>
    <n v="1525"/>
    <n v="0"/>
    <n v="3789"/>
    <n v="3699"/>
    <n v="0"/>
    <n v="0"/>
    <n v="0"/>
    <n v="0"/>
    <n v="0"/>
    <x v="0"/>
    <x v="69"/>
    <x v="69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366897"/>
    <n v="636340"/>
    <n v="1003237"/>
    <n v="1003237"/>
    <n v="1003237"/>
    <n v="67859"/>
    <n v="69734"/>
    <n v="73587"/>
    <n v="67323.399999999994"/>
    <n v="68438.86"/>
    <n v="93521"/>
    <n v="0"/>
    <n v="0"/>
    <n v="0"/>
    <n v="0"/>
    <n v="0"/>
    <n v="0"/>
    <n v="67859"/>
    <n v="69734"/>
    <n v="73587"/>
    <n v="67323.399999999994"/>
    <n v="68438.86"/>
    <n v="93521"/>
    <n v="0"/>
    <n v="0"/>
    <n v="0"/>
    <n v="0"/>
    <n v="0"/>
    <n v="0"/>
    <n v="0"/>
    <n v="67857"/>
    <n v="69734"/>
    <n v="73587"/>
    <n v="67325.399999999994"/>
    <n v="68438.86"/>
    <n v="93521"/>
    <n v="0"/>
    <n v="0"/>
    <n v="0"/>
    <n v="0"/>
    <n v="0"/>
    <n v="0"/>
    <n v="67857"/>
    <n v="69734"/>
    <n v="73587"/>
    <n v="67325.399999999994"/>
    <n v="68438.86"/>
    <n v="93521"/>
    <n v="0"/>
    <n v="0"/>
    <n v="0"/>
    <n v="0"/>
    <n v="0"/>
    <x v="0"/>
    <x v="69"/>
    <x v="69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2768"/>
    <n v="1384"/>
    <n v="1400"/>
    <n v="1400"/>
    <x v="48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244750"/>
    <n v="222213"/>
    <n v="466963"/>
    <n v="460981"/>
    <n v="460981"/>
    <n v="62587"/>
    <n v="64897"/>
    <n v="77510"/>
    <n v="80596.600000000006"/>
    <n v="80306.8"/>
    <n v="0"/>
    <n v="0"/>
    <n v="0"/>
    <n v="0"/>
    <n v="0"/>
    <n v="0"/>
    <n v="0"/>
    <n v="62587"/>
    <n v="64897"/>
    <n v="77510"/>
    <n v="80596.600000000006"/>
    <n v="80306.8"/>
    <n v="0"/>
    <n v="0"/>
    <n v="0"/>
    <n v="0"/>
    <n v="0"/>
    <n v="0"/>
    <n v="0"/>
    <n v="0"/>
    <n v="62587"/>
    <n v="70050"/>
    <n v="71780"/>
    <n v="80596.600000000006"/>
    <n v="80306.8"/>
    <n v="0"/>
    <n v="0"/>
    <n v="0"/>
    <n v="0"/>
    <n v="0"/>
    <n v="0"/>
    <n v="0"/>
    <n v="62587"/>
    <n v="70050"/>
    <n v="71780"/>
    <n v="80596.600000000006"/>
    <n v="80306.8"/>
    <n v="0"/>
    <n v="0"/>
    <n v="0"/>
    <n v="0"/>
    <n v="0"/>
    <n v="0"/>
    <x v="0"/>
    <x v="69"/>
    <x v="69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881."/>
    <s v="5.ACTIVIDAD"/>
    <s v="5005193. TRATAMIENTO CON INTERNAMIENTO DE PACIENTES CON TRASTORNO DEL COMPORTAMIENTO DEBIDO AL CONSUMO DE ALCOHOL"/>
    <s v="20. SALUD"/>
    <s v="044. SALUD INDIVIDUAL"/>
    <s v="0097. ATENCION MEDICA ESPECIALIZADA"/>
    <s v="00001"/>
    <s v="0136785. TRATAMIENTO CON INTERNAMIENTO DE PACIENTES CON TRASTORNO DEL COMPORTAMIENTO DEBIDO AL CONSUMO DE ALCOHOL"/>
    <s v="00394 - TECNICO"/>
    <n v="30"/>
    <n v="15"/>
    <n v="15"/>
    <n v="15"/>
    <x v="131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RECURSOS ORDINARIOS"/>
    <n v="0"/>
    <n v="17495"/>
    <n v="17495"/>
    <n v="5663.4"/>
    <n v="5663.4"/>
    <n v="0"/>
    <n v="0"/>
    <n v="1525"/>
    <n v="1524.6"/>
    <n v="1306.8"/>
    <n v="1307"/>
    <n v="0"/>
    <n v="0"/>
    <n v="0"/>
    <n v="0"/>
    <n v="0"/>
    <n v="0"/>
    <n v="0"/>
    <n v="0"/>
    <n v="1525"/>
    <n v="1524.6"/>
    <n v="1306.8"/>
    <n v="1307"/>
    <n v="0"/>
    <n v="0"/>
    <n v="0"/>
    <n v="0"/>
    <n v="0"/>
    <n v="0"/>
    <n v="0"/>
    <n v="0"/>
    <n v="0"/>
    <n v="1525"/>
    <n v="1524.6"/>
    <n v="1306.8"/>
    <n v="1307"/>
    <n v="0"/>
    <n v="0"/>
    <n v="0"/>
    <n v="0"/>
    <n v="0"/>
    <n v="0"/>
    <n v="0"/>
    <n v="0"/>
    <n v="1525"/>
    <n v="1524.6"/>
    <n v="1306.8"/>
    <n v="1307"/>
    <n v="0"/>
    <n v="0"/>
    <n v="0"/>
    <n v="0"/>
    <n v="0"/>
    <x v="0"/>
    <x v="69"/>
    <x v="69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254."/>
    <s v="5.ACTIVIDAD"/>
    <s v="5000017. APLICACION DE VACUNAS COMPLETAS"/>
    <s v="20. SALUD"/>
    <s v="044. SALUD INDIVIDUAL"/>
    <s v="0096. ATENCION MEDICA BASICA"/>
    <s v="00001"/>
    <s v="0033254. NIÑOS CON VACUNA COMPLETA"/>
    <s v="00218 - NIÑO PROTEGIDO"/>
    <n v="3576"/>
    <n v="1788"/>
    <n v="1160"/>
    <n v="1160"/>
    <x v="59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1200"/>
    <n v="0"/>
    <n v="1200"/>
    <n v="300"/>
    <n v="30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x v="0"/>
    <x v="70"/>
    <x v="70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255."/>
    <s v="5.ACTIVIDAD"/>
    <s v="5000018. ATENCION A NIÑOS CON CRECIMIENTO Y DESARROLLO - CRED COMPLETO PARA SU EDAD"/>
    <s v="20. SALUD"/>
    <s v="044. SALUD INDIVIDUAL"/>
    <s v="0096. ATENCION MEDICA BASICA"/>
    <s v="00001"/>
    <s v="0033255. NIÑOS CON CRED COMPLETO SEGUN EDAD"/>
    <s v="00219 - NIÑO CONTROLADO"/>
    <n v="1501"/>
    <n v="750"/>
    <n v="0"/>
    <n v="0"/>
    <x v="53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1200"/>
    <n v="0"/>
    <n v="1200"/>
    <n v="300"/>
    <n v="30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x v="0"/>
    <x v="70"/>
    <x v="70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00001."/>
    <s v="5.ACTIVIDAD"/>
    <s v="5004389. DESARROLLO DE NORMAS Y GUIAS TECNICAS EN SALUD MATERNO NEONATAL"/>
    <s v="20. SALUD"/>
    <s v="043. SALUD COLECTIVA"/>
    <s v="0093. REGULACION Y CONTROL SANITARIO"/>
    <s v="00001"/>
    <s v="0033287. DESARROLLO DE NORMAS Y GUIAS TECNICAS EN SALUD MATERNO NEONATAL"/>
    <s v="00080 - NORMA"/>
    <n v="2"/>
    <n v="1"/>
    <n v="0"/>
    <n v="0"/>
    <x v="7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600"/>
    <n v="0"/>
    <n v="600"/>
    <n v="600"/>
    <n v="60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x v="0"/>
    <x v="70"/>
    <x v="70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172."/>
    <s v="5.ACTIVIDAD"/>
    <s v="5000037. BRINDAR ATENCION PRENATAL REENFOCADA"/>
    <s v="20. SALUD"/>
    <s v="044. SALUD INDIVIDUAL"/>
    <s v="0096. ATENCION MEDICA BASICA"/>
    <s v="00001"/>
    <s v="0033172. ATENCION PRENATAL REENFOCADA"/>
    <s v="00058 - GESTANTE CONTROLADA"/>
    <n v="3140"/>
    <n v="1570"/>
    <n v="1605"/>
    <n v="1605"/>
    <x v="9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1200"/>
    <n v="0"/>
    <n v="1200"/>
    <n v="600"/>
    <n v="60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x v="0"/>
    <x v="70"/>
    <x v="70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5."/>
    <s v="5.ACTIVIDAD"/>
    <s v="5000045. BRINDAR ATENCION DE PARTO NORMAL"/>
    <s v="20. SALUD"/>
    <s v="044. SALUD INDIVIDUAL"/>
    <s v="0096. ATENCION MEDICA BASICA"/>
    <s v="00001"/>
    <s v="0033295. ATENCION DEL PARTO NORMAL"/>
    <s v="00208 - PARTO NORMAL"/>
    <n v="1400"/>
    <n v="700"/>
    <n v="447"/>
    <n v="447"/>
    <x v="11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1200"/>
    <n v="0"/>
    <n v="1200"/>
    <n v="300"/>
    <n v="30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x v="0"/>
    <x v="70"/>
    <x v="70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7."/>
    <s v="5.ACTIVIDAD"/>
    <s v="5000047. BRINDAR ATENCION DEL PARTO COMPLICADO QUIRURGICO"/>
    <s v="20. SALUD"/>
    <s v="044. SALUD INDIVIDUAL"/>
    <s v="0097. ATENCION MEDICA ESPECIALIZADA"/>
    <s v="00001"/>
    <s v="0033297. ATENCION DEL PARTO COMPLICADO QUIRURGICO"/>
    <s v="00210 - CESAREA"/>
    <n v="1550"/>
    <n v="775"/>
    <n v="747"/>
    <n v="747"/>
    <x v="13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4200"/>
    <n v="-1388"/>
    <n v="2812"/>
    <n v="1200"/>
    <n v="1200"/>
    <n v="0"/>
    <n v="0"/>
    <n v="0"/>
    <n v="0"/>
    <n v="0"/>
    <n v="0"/>
    <n v="1200"/>
    <n v="0"/>
    <n v="0"/>
    <n v="0"/>
    <n v="0"/>
    <n v="0"/>
    <n v="0"/>
    <n v="0"/>
    <n v="0"/>
    <n v="0"/>
    <n v="0"/>
    <n v="0"/>
    <n v="1200"/>
    <n v="0"/>
    <n v="0"/>
    <n v="0"/>
    <n v="0"/>
    <n v="0"/>
    <n v="0"/>
    <n v="0"/>
    <n v="0"/>
    <n v="0"/>
    <n v="0"/>
    <n v="0"/>
    <n v="1200"/>
    <n v="0"/>
    <n v="0"/>
    <n v="0"/>
    <n v="0"/>
    <n v="0"/>
    <n v="0"/>
    <n v="0"/>
    <n v="0"/>
    <n v="0"/>
    <n v="0"/>
    <n v="0"/>
    <n v="1200"/>
    <n v="0"/>
    <n v="0"/>
    <n v="0"/>
    <n v="0"/>
    <n v="0"/>
    <x v="0"/>
    <x v="70"/>
    <x v="70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8."/>
    <s v="5.ACTIVIDAD"/>
    <s v="5000048. ATENDER EL PUERPERIO"/>
    <s v="20. SALUD"/>
    <s v="044. SALUD INDIVIDUAL"/>
    <s v="0096. ATENCION MEDICA BASICA"/>
    <s v="00001"/>
    <s v="0033298. ATENCION DEL PUERPERIO"/>
    <s v="00628 - DELITO ATENDIDO"/>
    <n v="150"/>
    <n v="75"/>
    <n v="15"/>
    <n v="15"/>
    <x v="14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600"/>
    <n v="600"/>
    <n v="1200"/>
    <n v="600"/>
    <n v="60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x v="0"/>
    <x v="70"/>
    <x v="70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0."/>
    <s v="5.ACTIVIDAD"/>
    <s v="5000050. ATENDER COMPLICACIONES OBSTETRICAS EN UNIDAD DE CUIDADOS INTENSIVOS"/>
    <s v="20. SALUD"/>
    <s v="044. SALUD INDIVIDUAL"/>
    <s v="0097. ATENCION MEDICA ESPECIALIZADA"/>
    <s v="00001"/>
    <s v="0033300. ATENCION OBSTETRICA EN UNIDAD DE CUIDADOS INTENSIVOS"/>
    <s v="00016 - CASO TRATADO"/>
    <n v="68"/>
    <n v="34"/>
    <n v="16"/>
    <n v="16"/>
    <x v="16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600"/>
    <n v="600"/>
    <n v="1200"/>
    <n v="600"/>
    <n v="60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x v="0"/>
    <x v="70"/>
    <x v="70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4."/>
    <s v="5.ACTIVIDAD"/>
    <s v="5000052. MEJORAMIENTO DEL ACCESO AL SISTEMA DE REFERENCIA INSTITUCIONAL"/>
    <s v="20. SALUD"/>
    <s v="044. SALUD INDIVIDUAL"/>
    <s v="0096. ATENCION MEDICA BASICA"/>
    <s v="00001"/>
    <s v="0033304. ACCESO AL SISTEMA DE REFERENCIA INSTITUCIONAL"/>
    <s v="00214 - GESTANTE Y/O NEONATO REFERIDO"/>
    <n v="14"/>
    <n v="7"/>
    <n v="8"/>
    <n v="8"/>
    <x v="45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2400"/>
    <n v="-1200"/>
    <n v="1200"/>
    <n v="600"/>
    <n v="60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x v="0"/>
    <x v="70"/>
    <x v="70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5."/>
    <s v="5.ACTIVIDAD"/>
    <s v="5000053. ATENDER AL RECIEN NACIDO NORMAL"/>
    <s v="20. SALUD"/>
    <s v="044. SALUD INDIVIDUAL"/>
    <s v="0096. ATENCION MEDICA BASICA"/>
    <s v="00001"/>
    <s v="0033305. ATENCION DEL RECIEN NACIDO NORMAL"/>
    <s v="00239 - RECIEN NACIDO ATENDIDO"/>
    <n v="7546"/>
    <n v="3773"/>
    <n v="2820"/>
    <n v="2820"/>
    <x v="17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4200"/>
    <n v="-2122"/>
    <n v="2078"/>
    <n v="300"/>
    <n v="30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x v="0"/>
    <x v="70"/>
    <x v="70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6."/>
    <s v="5.ACTIVIDAD"/>
    <s v="5000054. ATENDER AL RECIEN NACIDO CON COMPLICACIONES"/>
    <s v="20. SALUD"/>
    <s v="044. SALUD INDIVIDUAL"/>
    <s v="0097. ATENCION MEDICA ESPECIALIZADA"/>
    <s v="00001"/>
    <s v="0033306. ATENCION DEL RECIEN NACIDO CON COMPLICACIONES"/>
    <s v="00016 - CASO TRATADO"/>
    <n v="2469"/>
    <n v="1234"/>
    <n v="728"/>
    <n v="728"/>
    <x v="18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3600"/>
    <n v="-2400"/>
    <n v="1200"/>
    <n v="600"/>
    <n v="60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x v="0"/>
    <x v="70"/>
    <x v="70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7."/>
    <s v="5.ACTIVIDAD"/>
    <s v="5000055. ATENDER AL RECIEN NACIDO CON COMPLICACIONES QUE REQUIERE UNIDAD DE CUIDADOS INTENSIVOS NEONATALES - UCIN"/>
    <s v="20. SALUD"/>
    <s v="044. SALUD INDIVIDUAL"/>
    <s v="0097. ATENCION MEDICA ESPECIALIZADA"/>
    <s v="00001"/>
    <s v="0033307. ATENCION DEL RECIEN NACIDO CON COMPLICACIONES QUE REQUIERE UNIDAD DE CUIDADOS INTENSIVOS NEONATALES - UCIN"/>
    <s v="00016 - CASO TRATADO"/>
    <n v="1148"/>
    <n v="574"/>
    <n v="436"/>
    <n v="436"/>
    <x v="19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600"/>
    <n v="0"/>
    <n v="600"/>
    <n v="300"/>
    <n v="30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x v="0"/>
    <x v="70"/>
    <x v="70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12."/>
    <s v="5.ACTIVIDAD"/>
    <s v="5004436. DESPISTAJE DE TUBERCULOSIS EN SINTOMATICOS RESPIRATORIOS"/>
    <s v="20. SALUD"/>
    <s v="044. SALUD INDIVIDUAL"/>
    <s v="0096. ATENCION MEDICA BASICA"/>
    <s v="00001"/>
    <s v="0043962. DESPISTAJE DE TUBERCULOSIS EN SINTOMATICOS RESPIRATORIOS"/>
    <s v="00087 - PERSONA ATENDIDA"/>
    <n v="3212"/>
    <n v="1606"/>
    <n v="647.70000000000005"/>
    <n v="647.70000000000005"/>
    <x v="47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0"/>
    <n v="600"/>
    <n v="600"/>
    <n v="300"/>
    <n v="30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x v="0"/>
    <x v="70"/>
    <x v="70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68."/>
    <s v="5.ACTIVIDAD"/>
    <s v="5000078. BRINDAR A POBLACION CON INFECCIONES DE TRANSMISION SEXUAL TRATAMIENTO SEGUN GUIA CLINICAS"/>
    <s v="20. SALUD"/>
    <s v="044. SALUD INDIVIDUAL"/>
    <s v="0096. ATENCION MEDICA BASICA"/>
    <s v="00001"/>
    <s v="0136036. BRINDAR A POBLACION CON INFECCIONES DE TRANSMISION SEXUAL TRATAMIENTO SEGUN GUIA CLINICAS"/>
    <s v="00394 - TECNICO"/>
    <n v="400"/>
    <n v="200"/>
    <n v="39"/>
    <n v="39"/>
    <x v="97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600"/>
    <n v="0"/>
    <n v="600"/>
    <n v="300"/>
    <n v="30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x v="0"/>
    <x v="70"/>
    <x v="70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71."/>
    <s v="5.ACTIVIDAD"/>
    <s v="5000081. BRINDAR TRATAMIENTO OPORTUNO A MUJERES GESTANTES REACTIVAS A SIFILIS Y SUS CONTACTOS Y RECIEN NACIDOS EXPUESTOS"/>
    <s v="20. SALUD"/>
    <s v="044. SALUD INDIVIDUAL"/>
    <s v="0096. ATENCION MEDICA BASICA"/>
    <s v="00001"/>
    <s v="0136040. BRINDAR TRATAMIENTO OPORTUNO A MUJERES GESTANTES REACTIVAS A SIFILIS Y SUS CONTACTOS Y RECIEN NACIDOS EXPUESTOS"/>
    <s v="00207 - GESTANTE ATENDIDA"/>
    <n v="7"/>
    <n v="4"/>
    <n v="4"/>
    <n v="4"/>
    <x v="106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600"/>
    <n v="600"/>
    <n v="1200"/>
    <n v="600"/>
    <n v="60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x v="0"/>
    <x v="70"/>
    <x v="70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2."/>
    <s v="5.ACTIVIDAD"/>
    <s v="5000110. BRINDAR TRATAMIENTO A PACIENTES CON DIAGNOSTICO DE CATARATAS"/>
    <s v="20. SALUD"/>
    <s v="044. SALUD INDIVIDUAL"/>
    <s v="0097. ATENCION MEDICA ESPECIALIZADA"/>
    <s v="00001"/>
    <s v="0135994. BRINDAR TRATAMIENTO A PACIENTES CON DIAGNOSTICO DE CATARATAS"/>
    <s v="00394 - TECNICO"/>
    <n v="648"/>
    <n v="324"/>
    <n v="141"/>
    <n v="141"/>
    <x v="22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600"/>
    <n v="600"/>
    <n v="1200"/>
    <n v="600"/>
    <n v="60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576"/>
    <n v="0"/>
    <n v="0"/>
    <n v="0"/>
    <n v="0"/>
    <n v="0"/>
    <n v="0"/>
    <n v="0"/>
    <n v="0"/>
    <n v="0"/>
    <n v="0"/>
    <n v="0"/>
    <n v="576"/>
    <n v="0"/>
    <n v="0"/>
    <n v="0"/>
    <n v="0"/>
    <n v="0"/>
    <x v="0"/>
    <x v="70"/>
    <x v="70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7."/>
    <s v="5.ACTIVIDAD"/>
    <s v="5000115. BRINDAR TRATAMIENTO A PERSONAS CON DIAGNOSTICO DE DIABETES MELLITUS"/>
    <s v="20. SALUD"/>
    <s v="044. SALUD INDIVIDUAL"/>
    <s v="0097. ATENCION MEDICA ESPECIALIZADA"/>
    <s v="00001"/>
    <s v="0135999. BRINDAR TRATAMIENTO A PERSONAS CON DIAGNOSTICO DE DIABETES MELLITUS"/>
    <s v="00394 - TECNICO"/>
    <n v="2385"/>
    <n v="1192"/>
    <n v="1378"/>
    <n v="1378"/>
    <x v="108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0"/>
    <n v="600"/>
    <n v="600"/>
    <n v="300"/>
    <n v="30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x v="0"/>
    <x v="70"/>
    <x v="70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001."/>
    <s v="5.ACTIVIDAD"/>
    <s v="5004441. MONITOREO, SUPERVISION, EVALUACION Y CONTROL DE PREVENCION Y CONTROL DEL CANCER"/>
    <s v="20. SALUD"/>
    <s v="004. PLANEAMIENTO GUBERNAMENTAL"/>
    <s v="0005. PLANEAMIENTO INSTITUCIONAL"/>
    <s v="00001"/>
    <s v="0044192. MONITOREO, SUPERVISION, EVALUACION Y CONTROL DE PREVENCION Y CONTROL DEL CANCER"/>
    <s v="00060 - INFORME"/>
    <n v="6"/>
    <n v="3"/>
    <n v="3"/>
    <n v="3"/>
    <x v="128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600"/>
    <n v="0"/>
    <n v="600"/>
    <n v="300"/>
    <n v="30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x v="0"/>
    <x v="70"/>
    <x v="70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001."/>
    <s v="5.ACTIVIDAD"/>
    <s v="5004442. DESARROLLO DE NORMAS Y GUIAS TECNICAS EN PREVENCION Y CONTROL DEL CANCER"/>
    <s v="20. SALUD"/>
    <s v="043. SALUD COLECTIVA"/>
    <s v="0093. REGULACION Y CONTROL SANITARIO"/>
    <s v="00001"/>
    <s v="0044193. DESARROLLO DE NORMAS Y GUIAS TECNICAS EN PREVENCION Y CONTROL DEL CANCER"/>
    <s v="00080 - NORMA"/>
    <n v="2"/>
    <n v="1"/>
    <n v="0"/>
    <n v="0"/>
    <x v="129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600"/>
    <n v="0"/>
    <n v="600"/>
    <n v="300"/>
    <n v="30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x v="0"/>
    <x v="70"/>
    <x v="70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66."/>
    <s v="5.ACTIVIDAD"/>
    <s v="5006014. DIAGNOSTICO DEL CANCER DE MAMA"/>
    <s v="20. SALUD"/>
    <s v="044. SALUD INDIVIDUAL"/>
    <s v="0097. ATENCION MEDICA ESPECIALIZADA"/>
    <s v="00001"/>
    <s v="0215087. DIAGNOSTICO DEL CANCER DE MAMA"/>
    <s v="00393 - TASA"/>
    <n v="48"/>
    <n v="14"/>
    <n v="12"/>
    <n v="12"/>
    <x v="114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600"/>
    <n v="0"/>
    <n v="600"/>
    <n v="300"/>
    <n v="30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x v="0"/>
    <x v="70"/>
    <x v="70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815."/>
    <s v="5.ACTIVIDAD"/>
    <s v="5006001. CONSEJERIA PARA PACIENTES DIAGNOSTICADOS CON CANCER"/>
    <s v="20. SALUD"/>
    <s v="044. SALUD INDIVIDUAL"/>
    <s v="0096. ATENCION MEDICA BASICA"/>
    <s v="00001"/>
    <s v="0215074. CONSEJERIA PARA PACIENTES DIAGNOSTICADOS CON CANCER"/>
    <s v="00259 - PERSONA INFORMADA"/>
    <n v="380"/>
    <n v="190"/>
    <n v="70"/>
    <n v="70"/>
    <x v="91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1200"/>
    <n v="-600"/>
    <n v="600"/>
    <n v="300"/>
    <n v="30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x v="0"/>
    <x v="70"/>
    <x v="70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819."/>
    <s v="5.ACTIVIDAD"/>
    <s v="5006032. ATENCION CON CUIDADOS PALIATIVOS EN EL ESTABLECIMIENTO DE SALUD"/>
    <s v="20. SALUD"/>
    <s v="044. SALUD INDIVIDUAL"/>
    <s v="0097. ATENCION MEDICA ESPECIALIZADA"/>
    <s v="00001"/>
    <s v="0215105. ATENCION CON CUIDADOS PALIATIVOS EN EL ESTABLECIMIENTO DE SALUD"/>
    <s v="00087 - PERSONA ATENDIDA"/>
    <n v="456"/>
    <n v="228"/>
    <n v="48"/>
    <n v="48"/>
    <x v="130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2400"/>
    <n v="600"/>
    <n v="3000"/>
    <n v="1500"/>
    <n v="1500"/>
    <n v="0"/>
    <n v="0"/>
    <n v="0"/>
    <n v="0"/>
    <n v="0"/>
    <n v="0"/>
    <n v="1500"/>
    <n v="0"/>
    <n v="0"/>
    <n v="0"/>
    <n v="0"/>
    <n v="0"/>
    <n v="0"/>
    <n v="0"/>
    <n v="0"/>
    <n v="0"/>
    <n v="0"/>
    <n v="0"/>
    <n v="1500"/>
    <n v="0"/>
    <n v="0"/>
    <n v="0"/>
    <n v="0"/>
    <n v="0"/>
    <n v="0"/>
    <n v="0"/>
    <n v="0"/>
    <n v="0"/>
    <n v="0"/>
    <n v="0"/>
    <n v="1500"/>
    <n v="0"/>
    <n v="0"/>
    <n v="0"/>
    <n v="0"/>
    <n v="0"/>
    <n v="0"/>
    <n v="0"/>
    <n v="0"/>
    <n v="0"/>
    <n v="0"/>
    <n v="0"/>
    <n v="1500"/>
    <n v="0"/>
    <n v="0"/>
    <n v="0"/>
    <n v="0"/>
    <n v="0"/>
    <x v="0"/>
    <x v="70"/>
    <x v="70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8"/>
    <s v=" ."/>
    <s v="3000734."/>
    <s v="5.ACTIVIDAD"/>
    <s v="5005612. DESARROLLO DE LOS CENTROS Y ESPACIOS DE MONITOREO DE EMERGENCIAS Y DESASTRES"/>
    <s v="20. SALUD"/>
    <s v="016. GESTION DE RIESGOS Y EMERGENCIAS"/>
    <s v="0036. ATENCION INMEDIATA DE DESASTRES"/>
    <s v="00001"/>
    <s v="0160879. DESARROLLO DE LOS CENTROS Y ESPACIOS DE MONITOREO DE EMERGENCIAS Y DESASTRES"/>
    <s v="00248 - REPORTE"/>
    <n v="12"/>
    <n v="6"/>
    <n v="6"/>
    <n v="6"/>
    <x v="26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600"/>
    <n v="0"/>
    <n v="600"/>
    <n v="300"/>
    <n v="30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x v="0"/>
    <x v="70"/>
    <x v="70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1. ATENCION DE TRIAJE"/>
    <s v="20. SALUD"/>
    <s v="044. SALUD INDIVIDUAL"/>
    <s v="0098. SERVICIOS DE DIAGNOSTICO Y TRATAMIENTO"/>
    <s v="00001"/>
    <s v="0188297. ATENCION DE TRIAJE"/>
    <s v="00006 - ATENCION"/>
    <n v="6000"/>
    <n v="3000"/>
    <n v="8247"/>
    <n v="8247"/>
    <x v="123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2400"/>
    <n v="0"/>
    <n v="2400"/>
    <n v="900"/>
    <n v="900"/>
    <n v="0"/>
    <n v="0"/>
    <n v="0"/>
    <n v="0"/>
    <n v="0"/>
    <n v="0"/>
    <n v="900"/>
    <n v="0"/>
    <n v="0"/>
    <n v="0"/>
    <n v="0"/>
    <n v="0"/>
    <n v="0"/>
    <n v="0"/>
    <n v="0"/>
    <n v="0"/>
    <n v="0"/>
    <n v="0"/>
    <n v="900"/>
    <n v="0"/>
    <n v="0"/>
    <n v="0"/>
    <n v="0"/>
    <n v="0"/>
    <n v="0"/>
    <n v="0"/>
    <n v="0"/>
    <n v="0"/>
    <n v="0"/>
    <n v="0"/>
    <n v="900"/>
    <n v="0"/>
    <n v="0"/>
    <n v="0"/>
    <n v="0"/>
    <n v="0"/>
    <n v="0"/>
    <n v="0"/>
    <n v="0"/>
    <n v="0"/>
    <n v="0"/>
    <n v="0"/>
    <n v="900"/>
    <n v="0"/>
    <n v="0"/>
    <n v="0"/>
    <n v="0"/>
    <n v="0"/>
    <x v="0"/>
    <x v="70"/>
    <x v="70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3. ATENCION DE LA EMERGENCIA Y URGENCIA ESPECIALIZADA"/>
    <s v="20. SALUD"/>
    <s v="044. SALUD INDIVIDUAL"/>
    <s v="0097. ATENCION MEDICA ESPECIALIZADA"/>
    <s v="00001"/>
    <s v="0188299. ATENCION DE LA EMERGENCIA Y URGENCIA ESPECIALIZADA"/>
    <s v="00006 - ATENCION"/>
    <n v="25000"/>
    <n v="12500"/>
    <n v="7470"/>
    <n v="7470"/>
    <x v="28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3600"/>
    <n v="3000"/>
    <n v="6600"/>
    <n v="3300"/>
    <n v="3300"/>
    <n v="0"/>
    <n v="0"/>
    <n v="0"/>
    <n v="0"/>
    <n v="0"/>
    <n v="0"/>
    <n v="3300"/>
    <n v="0"/>
    <n v="0"/>
    <n v="0"/>
    <n v="0"/>
    <n v="0"/>
    <n v="0"/>
    <n v="0"/>
    <n v="0"/>
    <n v="0"/>
    <n v="0"/>
    <n v="0"/>
    <n v="3300"/>
    <n v="0"/>
    <n v="0"/>
    <n v="0"/>
    <n v="0"/>
    <n v="0"/>
    <n v="0"/>
    <n v="0"/>
    <n v="0"/>
    <n v="0"/>
    <n v="0"/>
    <n v="0"/>
    <n v="3300"/>
    <n v="0"/>
    <n v="0"/>
    <n v="0"/>
    <n v="0"/>
    <n v="0"/>
    <n v="0"/>
    <n v="0"/>
    <n v="0"/>
    <n v="0"/>
    <n v="0"/>
    <n v="0"/>
    <n v="3300"/>
    <n v="0"/>
    <n v="0"/>
    <n v="0"/>
    <n v="0"/>
    <n v="0"/>
    <x v="0"/>
    <x v="70"/>
    <x v="70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4. ATENCION DE LA EMERGENCIA DE CUIDADOS INTENSIVOS"/>
    <s v="20. SALUD"/>
    <s v="044. SALUD INDIVIDUAL"/>
    <s v="0097. ATENCION MEDICA ESPECIALIZADA"/>
    <s v="00001"/>
    <s v="0188300. ATENCION DE LA EMERGENCIA DE CUIDADOS INTENSIVOS"/>
    <s v="00006 - ATENCION"/>
    <n v="400"/>
    <n v="200"/>
    <n v="128"/>
    <n v="128"/>
    <x v="29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1200"/>
    <n v="0"/>
    <n v="1200"/>
    <n v="600"/>
    <n v="60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x v="0"/>
    <x v="70"/>
    <x v="70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5. ATENCION DE LA EMERGENCIA QUIRURGICA"/>
    <s v="20. SALUD"/>
    <s v="044. SALUD INDIVIDUAL"/>
    <s v="0097. ATENCION MEDICA ESPECIALIZADA"/>
    <s v="00001"/>
    <s v="0188301. ATENCION DE LA EMERGENCIA QUIRURGICA"/>
    <s v="00006 - ATENCION"/>
    <n v="3000"/>
    <n v="1500"/>
    <n v="1405"/>
    <n v="1405"/>
    <x v="30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7400"/>
    <n v="2000"/>
    <n v="9400"/>
    <n v="2700"/>
    <n v="2700"/>
    <n v="0"/>
    <n v="0"/>
    <n v="0"/>
    <n v="0"/>
    <n v="0"/>
    <n v="0"/>
    <n v="2700"/>
    <n v="0"/>
    <n v="0"/>
    <n v="0"/>
    <n v="0"/>
    <n v="0"/>
    <n v="0"/>
    <n v="0"/>
    <n v="0"/>
    <n v="0"/>
    <n v="0"/>
    <n v="0"/>
    <n v="2700"/>
    <n v="0"/>
    <n v="0"/>
    <n v="0"/>
    <n v="0"/>
    <n v="0"/>
    <n v="0"/>
    <n v="0"/>
    <n v="0"/>
    <n v="0"/>
    <n v="0"/>
    <n v="0"/>
    <n v="2700"/>
    <n v="0"/>
    <n v="0"/>
    <n v="0"/>
    <n v="0"/>
    <n v="0"/>
    <n v="0"/>
    <n v="0"/>
    <n v="0"/>
    <n v="0"/>
    <n v="0"/>
    <n v="0"/>
    <n v="2700"/>
    <n v="0"/>
    <n v="0"/>
    <n v="0"/>
    <n v="0"/>
    <n v="0"/>
    <x v="0"/>
    <x v="70"/>
    <x v="70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0"/>
    <s v=" ."/>
    <s v="3000688."/>
    <s v="5.ACTIVIDAD"/>
    <s v="5004449. CAPACITACION EN MEDICINA DE REHABILITACION"/>
    <s v="20. SALUD"/>
    <s v="044. SALUD INDIVIDUAL"/>
    <s v="0097. ATENCION MEDICA ESPECIALIZADA"/>
    <s v="00001"/>
    <s v="0136018. CAPACITACION EN MEDICINA DE REHABILITACION"/>
    <s v="00088 - PERSONA CAPACITADA"/>
    <n v="60"/>
    <n v="30"/>
    <n v="0"/>
    <n v="0"/>
    <x v="0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0"/>
    <n v="3000"/>
    <n v="3000"/>
    <n v="1500"/>
    <n v="1500"/>
    <n v="0"/>
    <n v="0"/>
    <n v="0"/>
    <n v="0"/>
    <n v="0"/>
    <n v="0"/>
    <n v="1500"/>
    <n v="0"/>
    <n v="0"/>
    <n v="0"/>
    <n v="0"/>
    <n v="0"/>
    <n v="0"/>
    <n v="0"/>
    <n v="0"/>
    <n v="0"/>
    <n v="0"/>
    <n v="0"/>
    <n v="1500"/>
    <n v="0"/>
    <n v="0"/>
    <n v="0"/>
    <n v="0"/>
    <n v="0"/>
    <n v="0"/>
    <n v="0"/>
    <n v="0"/>
    <n v="0"/>
    <n v="0"/>
    <n v="0"/>
    <n v="1500"/>
    <n v="0"/>
    <n v="0"/>
    <n v="0"/>
    <n v="0"/>
    <n v="0"/>
    <n v="0"/>
    <n v="0"/>
    <n v="0"/>
    <n v="0"/>
    <n v="0"/>
    <n v="0"/>
    <n v="1500"/>
    <n v="0"/>
    <n v="0"/>
    <n v="0"/>
    <n v="0"/>
    <n v="0"/>
    <x v="0"/>
    <x v="70"/>
    <x v="70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698."/>
    <s v="5.ACTIVIDAD"/>
    <s v="5005188. TAMIZAJE DE PERSONAS CON TRASTORNOS MENTALES Y PROBLEMAS PSICOSOCIALES"/>
    <s v="20. SALUD"/>
    <s v="044. SALUD INDIVIDUAL"/>
    <s v="0096. ATENCION MEDICA BASICA"/>
    <s v="00001"/>
    <s v="0136780. TAMIZAJE DE PERSONAS CON TRASTORNOS MENTALES Y PROBLEMAS PSICOSOCIALES"/>
    <s v="00438 - PULGADAS"/>
    <n v="310"/>
    <n v="155"/>
    <n v="273"/>
    <n v="273"/>
    <x v="31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600"/>
    <n v="0"/>
    <n v="600"/>
    <n v="300"/>
    <n v="30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x v="0"/>
    <x v="70"/>
    <x v="70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700."/>
    <s v="5.ACTIVIDAD"/>
    <s v="5005191. TRATAMIENTO CON INTERNAMIENTO DE PERSONAS CON TRASTORNOS AFECTIVOS Y DE ANSIEDAD"/>
    <s v="20. SALUD"/>
    <s v="044. SALUD INDIVIDUAL"/>
    <s v="0097. ATENCION MEDICA ESPECIALIZADA"/>
    <s v="00001"/>
    <s v="0136783. TRATAMIENTO CON INTERNAMIENTO DE PERSONAS CON TRASTORNOS AFECTIVOS Y DE ANSIEDAD"/>
    <s v="00394 - TECNICO"/>
    <n v="50"/>
    <n v="25"/>
    <n v="20"/>
    <n v="20"/>
    <x v="64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0"/>
    <n v="600"/>
    <n v="600"/>
    <n v="300"/>
    <n v="30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x v="0"/>
    <x v="70"/>
    <x v="70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702."/>
    <s v="5.ACTIVIDAD"/>
    <s v="5005196. TRATAMIENTO CON INTERNAMIENTO DE PERSONAS CON SINDROME O TRASTORNO PSICOTICO"/>
    <s v="20. SALUD"/>
    <s v="044. SALUD INDIVIDUAL"/>
    <s v="0097. ATENCION MEDICA ESPECIALIZADA"/>
    <s v="00001"/>
    <s v="0136788. TRATAMIENTO CON INTERNAMIENTO DE PERSONAS CON SINDROME O TRASTORNO PSICOTICO"/>
    <s v="00394 - TECNICO"/>
    <n v="80"/>
    <n v="40"/>
    <n v="22"/>
    <n v="22"/>
    <x v="125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0"/>
    <n v="4200"/>
    <n v="4200"/>
    <n v="2100"/>
    <n v="2100"/>
    <n v="0"/>
    <n v="0"/>
    <n v="0"/>
    <n v="0"/>
    <n v="0"/>
    <n v="0"/>
    <n v="2100"/>
    <n v="0"/>
    <n v="0"/>
    <n v="0"/>
    <n v="0"/>
    <n v="0"/>
    <n v="0"/>
    <n v="0"/>
    <n v="0"/>
    <n v="0"/>
    <n v="0"/>
    <n v="0"/>
    <n v="2100"/>
    <n v="0"/>
    <n v="0"/>
    <n v="0"/>
    <n v="0"/>
    <n v="0"/>
    <n v="0"/>
    <n v="0"/>
    <n v="0"/>
    <n v="0"/>
    <n v="0"/>
    <n v="0"/>
    <n v="2100"/>
    <n v="0"/>
    <n v="0"/>
    <n v="0"/>
    <n v="0"/>
    <n v="0"/>
    <n v="0"/>
    <n v="0"/>
    <n v="0"/>
    <n v="0"/>
    <n v="0"/>
    <n v="0"/>
    <n v="2100"/>
    <n v="0"/>
    <n v="0"/>
    <n v="0"/>
    <n v="0"/>
    <n v="0"/>
    <x v="0"/>
    <x v="70"/>
    <x v="70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702."/>
    <s v="5.ACTIVIDAD"/>
    <s v="5005197. REHABILITACION PSICOSOCIAL DE PERSONAS CON SINDROME O TRASTORNO ESQUIZOFRENICO"/>
    <s v="20. SALUD"/>
    <s v="044. SALUD INDIVIDUAL"/>
    <s v="0097. ATENCION MEDICA ESPECIALIZADA"/>
    <s v="00001"/>
    <s v="0136789. REHABILITACION PSICOSOCIAL DE PERSONAS CON SINDROME O TRASTORNO ESQUIZOFRENICO"/>
    <s v="00087 - PERSONA ATENDIDA"/>
    <n v="2"/>
    <n v="1"/>
    <n v="1"/>
    <n v="1"/>
    <x v="126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600"/>
    <n v="0"/>
    <n v="600"/>
    <n v="300"/>
    <n v="30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x v="0"/>
    <x v="70"/>
    <x v="70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12000"/>
    <n v="9600"/>
    <n v="21600"/>
    <n v="10300"/>
    <n v="10300"/>
    <n v="0"/>
    <n v="0"/>
    <n v="0"/>
    <n v="0"/>
    <n v="0"/>
    <n v="0"/>
    <n v="10300"/>
    <n v="0"/>
    <n v="0"/>
    <n v="0"/>
    <n v="0"/>
    <n v="0"/>
    <n v="0"/>
    <n v="0"/>
    <n v="0"/>
    <n v="0"/>
    <n v="0"/>
    <n v="0"/>
    <n v="10300"/>
    <n v="0"/>
    <n v="0"/>
    <n v="0"/>
    <n v="0"/>
    <n v="0"/>
    <n v="0"/>
    <n v="0"/>
    <n v="0"/>
    <n v="0"/>
    <n v="0"/>
    <n v="0"/>
    <n v="10245.86"/>
    <n v="0"/>
    <n v="0"/>
    <n v="0"/>
    <n v="0"/>
    <n v="0"/>
    <n v="0"/>
    <n v="0"/>
    <n v="0"/>
    <n v="0"/>
    <n v="0"/>
    <n v="0"/>
    <n v="10245.86"/>
    <n v="0"/>
    <n v="0"/>
    <n v="0"/>
    <n v="0"/>
    <n v="0"/>
    <x v="0"/>
    <x v="70"/>
    <x v="70"/>
    <x v="1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5. GESTION DE RECURSOS HUMANOS"/>
    <s v="20. SALUD"/>
    <s v="006. GESTION"/>
    <s v="0011. PREPARACION Y PERFECCIONAMIENTO DE RECURSOS HUMANOS"/>
    <s v="00001"/>
    <s v="0053571. GESTION DE RECURSOS HUMANOS"/>
    <s v="00001 - ACCION"/>
    <n v="2426"/>
    <n v="1213"/>
    <n v="124"/>
    <n v="124"/>
    <x v="3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1800"/>
    <n v="-600"/>
    <n v="1200"/>
    <n v="500"/>
    <n v="50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x v="0"/>
    <x v="70"/>
    <x v="70"/>
    <x v="1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6. ACCIONES DE CONTROL Y AUDITORIA"/>
    <s v="20. SALUD"/>
    <s v="006. GESTION"/>
    <s v="0012. CONTROL INTERNO"/>
    <s v="00001"/>
    <s v="0023404. ACCIONES DE CONTROL Y AUDITORIA"/>
    <s v="00001 - ACCION"/>
    <n v="54"/>
    <n v="27"/>
    <n v="13"/>
    <n v="13"/>
    <x v="4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1200"/>
    <n v="0"/>
    <n v="1200"/>
    <n v="600"/>
    <n v="60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n v="0"/>
    <n v="0"/>
    <n v="0"/>
    <n v="0"/>
    <n v="0"/>
    <n v="0"/>
    <n v="600"/>
    <n v="0"/>
    <n v="0"/>
    <n v="0"/>
    <n v="0"/>
    <n v="0"/>
    <x v="0"/>
    <x v="70"/>
    <x v="70"/>
    <x v="1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10. ATENCION ESPECIALIZADA DE LA SALUD"/>
    <s v="20. SALUD"/>
    <s v="044. SALUD INDIVIDUAL"/>
    <s v="0097. ATENCION MEDICA ESPECIALIZADA"/>
    <s v="00001"/>
    <s v="0023484. ATENCION MEDICA ESPECIALIZADA"/>
    <s v="00006 - ATENCION"/>
    <n v="150000"/>
    <n v="75000"/>
    <n v="26347"/>
    <n v="26347"/>
    <x v="34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1200"/>
    <n v="0"/>
    <n v="1200"/>
    <n v="900"/>
    <n v="900"/>
    <n v="0"/>
    <n v="0"/>
    <n v="0"/>
    <n v="0"/>
    <n v="0"/>
    <n v="0"/>
    <n v="900"/>
    <n v="0"/>
    <n v="0"/>
    <n v="0"/>
    <n v="0"/>
    <n v="0"/>
    <n v="0"/>
    <n v="0"/>
    <n v="0"/>
    <n v="0"/>
    <n v="0"/>
    <n v="0"/>
    <n v="900"/>
    <n v="0"/>
    <n v="0"/>
    <n v="0"/>
    <n v="0"/>
    <n v="0"/>
    <n v="0"/>
    <n v="0"/>
    <n v="0"/>
    <n v="0"/>
    <n v="0"/>
    <n v="0"/>
    <n v="900"/>
    <n v="0"/>
    <n v="0"/>
    <n v="0"/>
    <n v="0"/>
    <n v="0"/>
    <n v="0"/>
    <n v="0"/>
    <n v="0"/>
    <n v="0"/>
    <n v="0"/>
    <n v="0"/>
    <n v="900"/>
    <n v="0"/>
    <n v="0"/>
    <n v="0"/>
    <n v="0"/>
    <n v="0"/>
    <x v="0"/>
    <x v="70"/>
    <x v="70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286. VIGILANCIA Y CONTROL EPIDEMIOLOGICO"/>
    <s v="20. SALUD"/>
    <s v="043. SALUD COLECTIVA"/>
    <s v="0093. REGULACION Y CONTROL SANITARIO"/>
    <s v="00001"/>
    <s v="0000281. ATENCION SANITARIA"/>
    <s v="00001 - ACCION"/>
    <n v="10"/>
    <n v="0"/>
    <n v="4"/>
    <n v="4"/>
    <x v="93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600"/>
    <n v="0"/>
    <n v="600"/>
    <n v="300"/>
    <n v="30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x v="0"/>
    <x v="70"/>
    <x v="70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2. ATENCION EN CONSULTAS EXTERNAS"/>
    <s v="20. SALUD"/>
    <s v="044. SALUD INDIVIDUAL"/>
    <s v="0097. ATENCION MEDICA ESPECIALIZADA"/>
    <s v="00001"/>
    <s v="0000266. ATENCION EN CONSULTAS EXTERNAS"/>
    <s v="00006 - ATENCION"/>
    <n v="150000"/>
    <n v="75000"/>
    <n v="31583"/>
    <n v="31583"/>
    <x v="35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600"/>
    <n v="0"/>
    <n v="600"/>
    <n v="300"/>
    <n v="30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x v="0"/>
    <x v="70"/>
    <x v="70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36600"/>
    <n v="-3931"/>
    <n v="32669"/>
    <n v="3900"/>
    <n v="3900"/>
    <n v="0"/>
    <n v="0"/>
    <n v="0"/>
    <n v="0"/>
    <n v="0"/>
    <n v="0"/>
    <n v="3900"/>
    <n v="0"/>
    <n v="0"/>
    <n v="0"/>
    <n v="0"/>
    <n v="0"/>
    <n v="0"/>
    <n v="0"/>
    <n v="0"/>
    <n v="0"/>
    <n v="0"/>
    <n v="0"/>
    <n v="3900"/>
    <n v="0"/>
    <n v="0"/>
    <n v="0"/>
    <n v="0"/>
    <n v="0"/>
    <n v="0"/>
    <n v="0"/>
    <n v="0"/>
    <n v="0"/>
    <n v="0"/>
    <n v="0"/>
    <n v="3900"/>
    <n v="0"/>
    <n v="0"/>
    <n v="0"/>
    <n v="0"/>
    <n v="0"/>
    <n v="0"/>
    <n v="0"/>
    <n v="0"/>
    <n v="0"/>
    <n v="0"/>
    <n v="0"/>
    <n v="3900"/>
    <n v="0"/>
    <n v="0"/>
    <n v="0"/>
    <n v="0"/>
    <n v="0"/>
    <x v="0"/>
    <x v="70"/>
    <x v="70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6. OTRAS ATENCIONES DE SALUD ESPECIALIZADAS"/>
    <s v="20. SALUD"/>
    <s v="044. SALUD INDIVIDUAL"/>
    <s v="0097. ATENCION MEDICA ESPECIALIZADA"/>
    <s v="00001"/>
    <s v="0023484. ATENCION MEDICA ESPECIALIZADA"/>
    <s v="00006 - ATENCION"/>
    <n v="25000"/>
    <n v="12500"/>
    <n v="11000"/>
    <n v="11000"/>
    <x v="38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2400"/>
    <n v="-600"/>
    <n v="1800"/>
    <n v="300"/>
    <n v="30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x v="0"/>
    <x v="70"/>
    <x v="70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2197. PRESTACIONES ADMINISTRATIVAS SUBSIDIADAS/NO TARIFADO"/>
    <s v="20. SALUD"/>
    <s v="044. SALUD INDIVIDUAL"/>
    <s v="0097. ATENCION MEDICA ESPECIALIZADA"/>
    <s v="00001"/>
    <s v="0002088. SEGURO INTEGRAL DE SALUD"/>
    <s v="00006 - ATENCION"/>
    <n v="50000"/>
    <n v="25000"/>
    <n v="26500"/>
    <n v="26500"/>
    <x v="40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11400"/>
    <n v="7800"/>
    <n v="19200"/>
    <n v="9600"/>
    <n v="9600"/>
    <n v="0"/>
    <n v="0"/>
    <n v="0"/>
    <n v="0"/>
    <n v="0"/>
    <n v="0"/>
    <n v="9600"/>
    <n v="0"/>
    <n v="0"/>
    <n v="0"/>
    <n v="0"/>
    <n v="0"/>
    <n v="0"/>
    <n v="0"/>
    <n v="0"/>
    <n v="0"/>
    <n v="0"/>
    <n v="0"/>
    <n v="9600"/>
    <n v="0"/>
    <n v="0"/>
    <n v="0"/>
    <n v="0"/>
    <n v="0"/>
    <n v="0"/>
    <n v="0"/>
    <n v="0"/>
    <n v="0"/>
    <n v="0"/>
    <n v="0"/>
    <n v="9422.5499999999993"/>
    <n v="0"/>
    <n v="0"/>
    <n v="0"/>
    <n v="0"/>
    <n v="0"/>
    <n v="0"/>
    <n v="0"/>
    <n v="0"/>
    <n v="0"/>
    <n v="0"/>
    <n v="0"/>
    <n v="9422.5499999999993"/>
    <n v="0"/>
    <n v="0"/>
    <n v="0"/>
    <n v="0"/>
    <n v="0"/>
    <x v="0"/>
    <x v="70"/>
    <x v="70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243000"/>
    <n v="0"/>
    <n v="243000"/>
    <n v="111300"/>
    <n v="111300"/>
    <n v="0"/>
    <n v="0"/>
    <n v="0"/>
    <n v="0"/>
    <n v="0"/>
    <n v="0"/>
    <n v="111300"/>
    <n v="0"/>
    <n v="0"/>
    <n v="0"/>
    <n v="0"/>
    <n v="0"/>
    <n v="0"/>
    <n v="0"/>
    <n v="0"/>
    <n v="0"/>
    <n v="0"/>
    <n v="0"/>
    <n v="111300"/>
    <n v="0"/>
    <n v="0"/>
    <n v="0"/>
    <n v="0"/>
    <n v="0"/>
    <n v="0"/>
    <n v="0"/>
    <n v="0"/>
    <n v="0"/>
    <n v="0"/>
    <n v="0"/>
    <n v="107828"/>
    <n v="0"/>
    <n v="0"/>
    <n v="0"/>
    <n v="0"/>
    <n v="0"/>
    <n v="0"/>
    <n v="0"/>
    <n v="0"/>
    <n v="0"/>
    <n v="0"/>
    <n v="0"/>
    <n v="107828"/>
    <n v="0"/>
    <n v="0"/>
    <n v="0"/>
    <n v="0"/>
    <n v="0"/>
    <x v="0"/>
    <x v="70"/>
    <x v="70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881."/>
    <s v="5.ACTIVIDAD"/>
    <s v="5005193. TRATAMIENTO CON INTERNAMIENTO DE PACIENTES CON TRASTORNO DEL COMPORTAMIENTO DEBIDO AL CONSUMO DE ALCOHOL"/>
    <s v="20. SALUD"/>
    <s v="044. SALUD INDIVIDUAL"/>
    <s v="0097. ATENCION MEDICA ESPECIALIZADA"/>
    <s v="00001"/>
    <s v="0136785. TRATAMIENTO CON INTERNAMIENTO DE PACIENTES CON TRASTORNO DEL COMPORTAMIENTO DEBIDO AL CONSUMO DE ALCOHOL"/>
    <s v="00394 - TECNICO"/>
    <n v="30"/>
    <n v="15"/>
    <n v="15"/>
    <n v="15"/>
    <x v="131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RECURSOS ORDINARIOS"/>
    <n v="0"/>
    <n v="6000"/>
    <n v="6000"/>
    <n v="3000"/>
    <n v="3000"/>
    <n v="0"/>
    <n v="0"/>
    <n v="0"/>
    <n v="0"/>
    <n v="0"/>
    <n v="0"/>
    <n v="3000"/>
    <n v="0"/>
    <n v="0"/>
    <n v="0"/>
    <n v="0"/>
    <n v="0"/>
    <n v="0"/>
    <n v="0"/>
    <n v="0"/>
    <n v="0"/>
    <n v="0"/>
    <n v="0"/>
    <n v="3000"/>
    <n v="0"/>
    <n v="0"/>
    <n v="0"/>
    <n v="0"/>
    <n v="0"/>
    <n v="0"/>
    <n v="0"/>
    <n v="0"/>
    <n v="0"/>
    <n v="0"/>
    <n v="0"/>
    <n v="2976"/>
    <n v="0"/>
    <n v="0"/>
    <n v="0"/>
    <n v="0"/>
    <n v="0"/>
    <n v="0"/>
    <n v="0"/>
    <n v="0"/>
    <n v="0"/>
    <n v="0"/>
    <n v="0"/>
    <n v="2976"/>
    <n v="0"/>
    <n v="0"/>
    <n v="0"/>
    <n v="0"/>
    <n v="0"/>
    <x v="0"/>
    <x v="70"/>
    <x v="70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702."/>
    <s v="5.ACTIVIDAD"/>
    <s v="5005196. TRATAMIENTO CON INTERNAMIENTO DE PERSONAS CON SINDROME O TRASTORNO PSICOTICO"/>
    <s v="20. SALUD"/>
    <s v="044. SALUD INDIVIDUAL"/>
    <s v="0097. ATENCION MEDICA ESPECIALIZADA"/>
    <s v="00001"/>
    <s v="0136788. TRATAMIENTO CON INTERNAMIENTO DE PERSONAS CON SINDROME O TRASTORNO PSICOTICO"/>
    <s v="00394 - TECNICO"/>
    <n v="80"/>
    <n v="40"/>
    <n v="22"/>
    <n v="22"/>
    <x v="125"/>
    <s v="05. AYACUCHO"/>
    <s v="01. HUAMANGA"/>
    <s v="01. AYACUCHO"/>
    <x v="0"/>
    <s v="00. RECURSOS ORDINARIOS"/>
    <s v="5. GASTOS CORRIENTES"/>
    <s v="2. GASTOS PRESUPUESTARIOS"/>
    <x v="2"/>
    <s v=" 2. CONTRATACION DE SERVICIOS"/>
    <s v=" 9. LOCACIÓN DE SERVICIOS RELACIONADAS AL ROL DE LA ENTIDAD"/>
    <s v=" 1. LOCACIÓN DE SERVICIOS RELACIONADAS AL ROL DE LA ENTIDAD"/>
    <s v=" 1. LOCACIÓN DE SERVICIOS REALIZADOS POR PERSONAS NATURALES RELACIONADAS AL ROL DE LA ENTIDAD"/>
    <s v="0 . RECURSOS ORDINARIOS"/>
    <n v="0"/>
    <n v="96000"/>
    <n v="96000"/>
    <n v="1900"/>
    <n v="1900"/>
    <n v="0"/>
    <n v="0"/>
    <n v="0"/>
    <n v="0"/>
    <n v="1900"/>
    <n v="0"/>
    <n v="0"/>
    <n v="0"/>
    <n v="0"/>
    <n v="0"/>
    <n v="0"/>
    <n v="0"/>
    <n v="0"/>
    <n v="0"/>
    <n v="0"/>
    <n v="0"/>
    <n v="0"/>
    <n v="1900"/>
    <n v="0"/>
    <n v="0"/>
    <n v="0"/>
    <n v="0"/>
    <n v="0"/>
    <n v="0"/>
    <n v="0"/>
    <n v="0"/>
    <n v="0"/>
    <n v="0"/>
    <n v="0"/>
    <n v="1900"/>
    <n v="0"/>
    <n v="0"/>
    <n v="0"/>
    <n v="0"/>
    <n v="0"/>
    <n v="0"/>
    <n v="0"/>
    <n v="0"/>
    <n v="0"/>
    <n v="0"/>
    <n v="0"/>
    <n v="1900"/>
    <n v="0"/>
    <n v="0"/>
    <n v="0"/>
    <n v="0"/>
    <n v="0"/>
    <n v="0"/>
    <x v="0"/>
    <x v="71"/>
    <x v="71"/>
    <x v="0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0"/>
    <s v="00. RECURSOS ORDINARIOS"/>
    <s v="5. GASTOS CORRIENTES"/>
    <s v="2. GASTOS PRESUPUESTARIOS"/>
    <x v="2"/>
    <s v=" 2. CONTRATACION DE SERVICIOS"/>
    <s v=" 9. LOCACIÓN DE SERVICIOS RELACIONADAS AL ROL DE LA ENTIDAD"/>
    <s v=" 1. LOCACIÓN DE SERVICIOS RELACIONADAS AL ROL DE LA ENTIDAD"/>
    <s v=" 1. LOCACIÓN DE SERVICIOS REALIZADOS POR PERSONAS NATURALES RELACIONADAS AL ROL DE LA ENTIDAD"/>
    <s v="0 . RECURSOS ORDINARIOS"/>
    <n v="943117"/>
    <n v="0"/>
    <n v="943117"/>
    <n v="943117"/>
    <n v="943117"/>
    <n v="0"/>
    <n v="0"/>
    <n v="0"/>
    <n v="943117"/>
    <n v="0"/>
    <n v="0"/>
    <n v="0"/>
    <n v="0"/>
    <n v="0"/>
    <n v="0"/>
    <n v="0"/>
    <n v="0"/>
    <n v="0"/>
    <n v="0"/>
    <n v="0"/>
    <n v="943117"/>
    <n v="0"/>
    <n v="0"/>
    <n v="0"/>
    <n v="0"/>
    <n v="0"/>
    <n v="0"/>
    <n v="0"/>
    <n v="0"/>
    <n v="0"/>
    <n v="0"/>
    <n v="0"/>
    <n v="943117"/>
    <n v="0"/>
    <n v="0"/>
    <n v="0"/>
    <n v="0"/>
    <n v="0"/>
    <n v="0"/>
    <n v="0"/>
    <n v="0"/>
    <n v="0"/>
    <n v="0"/>
    <n v="0"/>
    <n v="943117"/>
    <n v="0"/>
    <n v="0"/>
    <n v="0"/>
    <n v="0"/>
    <n v="0"/>
    <n v="0"/>
    <n v="0"/>
    <n v="0"/>
    <x v="0"/>
    <x v="71"/>
    <x v="71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0"/>
    <s v="00. RECURSOS ORDINARIOS"/>
    <s v="6. GASTOS DE CAPITAL"/>
    <s v="2. GASTOS PRESUPUESTARIOS"/>
    <x v="3"/>
    <s v=" 3. ADQUISICION DE VEHICULOS, MAQUINARIAS Y OTROS"/>
    <s v=" 2. ADQUISICION DE MAQUINARIAS, EQUIPO Y MOBILIARIO"/>
    <s v=" 3. ADQUISICION DE EQUIPOS INFORMATICOS Y DE COMUNICACIONES"/>
    <s v=" 1. EQUIPOS COMPUTACIONALES Y PERIFERICOS"/>
    <s v="0 . RECURSOS ORDINARIOS"/>
    <n v="0"/>
    <n v="164100"/>
    <n v="164100"/>
    <n v="75800"/>
    <n v="14100"/>
    <n v="0"/>
    <n v="14100"/>
    <n v="0"/>
    <n v="0"/>
    <n v="0"/>
    <n v="0"/>
    <n v="0"/>
    <n v="0"/>
    <n v="0"/>
    <n v="0"/>
    <n v="0"/>
    <n v="0"/>
    <n v="0"/>
    <n v="0"/>
    <n v="0"/>
    <n v="14100"/>
    <n v="0"/>
    <n v="0"/>
    <n v="0"/>
    <n v="0"/>
    <n v="0"/>
    <n v="0"/>
    <n v="0"/>
    <n v="0"/>
    <n v="0"/>
    <n v="0"/>
    <n v="0"/>
    <n v="14100"/>
    <n v="0"/>
    <n v="0"/>
    <n v="0"/>
    <n v="0"/>
    <n v="0"/>
    <n v="0"/>
    <n v="0"/>
    <n v="0"/>
    <n v="0"/>
    <n v="0"/>
    <n v="0"/>
    <n v="14100"/>
    <n v="0"/>
    <n v="0"/>
    <n v="0"/>
    <n v="0"/>
    <n v="0"/>
    <n v="0"/>
    <n v="0"/>
    <n v="0"/>
    <x v="0"/>
    <x v="72"/>
    <x v="72"/>
    <x v="2"/>
    <x v="3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0"/>
    <s v="00. RECURSOS ORDINARIOS"/>
    <s v="6. GASTOS DE CAPITAL"/>
    <s v="2. GASTOS PRESUPUESTARIOS"/>
    <x v="3"/>
    <s v=" 3. ADQUISICION DE VEHICULOS, MAQUINARIAS Y OTROS"/>
    <s v=" 2. ADQUISICION DE MAQUINARIAS, EQUIPO Y MOBILIARIO"/>
    <s v=" 3. ADQUISICION DE EQUIPOS INFORMATICOS Y DE COMUNICACIONES"/>
    <s v=" 3. EQUIPOS DE TELECOMUNICACIONES"/>
    <s v="0 . RECURSOS ORDINARIOS"/>
    <n v="0"/>
    <n v="7200"/>
    <n v="7200"/>
    <n v="7200"/>
    <n v="7200"/>
    <n v="0"/>
    <n v="7200"/>
    <n v="0"/>
    <n v="0"/>
    <n v="0"/>
    <n v="0"/>
    <n v="0"/>
    <n v="0"/>
    <n v="0"/>
    <n v="0"/>
    <n v="0"/>
    <n v="0"/>
    <n v="0"/>
    <n v="0"/>
    <n v="0"/>
    <n v="7200"/>
    <n v="0"/>
    <n v="0"/>
    <n v="0"/>
    <n v="0"/>
    <n v="0"/>
    <n v="0"/>
    <n v="0"/>
    <n v="0"/>
    <n v="0"/>
    <n v="0"/>
    <n v="0"/>
    <n v="7200"/>
    <n v="0"/>
    <n v="0"/>
    <n v="0"/>
    <n v="0"/>
    <n v="0"/>
    <n v="0"/>
    <n v="0"/>
    <n v="0"/>
    <n v="0"/>
    <n v="0"/>
    <n v="0"/>
    <n v="7200"/>
    <n v="0"/>
    <n v="0"/>
    <n v="0"/>
    <n v="0"/>
    <n v="0"/>
    <n v="0"/>
    <n v="0"/>
    <n v="0"/>
    <x v="0"/>
    <x v="73"/>
    <x v="73"/>
    <x v="2"/>
    <x v="3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0"/>
    <s v="00. RECURSOS ORDINARIOS"/>
    <s v="6. GASTOS DE CAPITAL"/>
    <s v="2. GASTOS PRESUPUESTARIOS"/>
    <x v="3"/>
    <s v=" 6. ADQUISICION DE OTROS ACTIVOS FIJOS"/>
    <s v=" 1. ADQUISICION DE OTROS ACTIVOS FIJOS"/>
    <s v=" 3. ACTIVOS INTANGIBLES"/>
    <s v=" 2. SOFTWARES"/>
    <s v="0 . RECURSOS ORDINARIOS"/>
    <n v="814000"/>
    <n v="-171300"/>
    <n v="642700"/>
    <n v="356815.4"/>
    <n v="65913"/>
    <n v="0"/>
    <n v="0"/>
    <n v="0"/>
    <n v="0"/>
    <n v="0"/>
    <n v="65913"/>
    <n v="0"/>
    <n v="0"/>
    <n v="0"/>
    <n v="0"/>
    <n v="0"/>
    <n v="0"/>
    <n v="0"/>
    <n v="0"/>
    <n v="0"/>
    <n v="0"/>
    <n v="0"/>
    <n v="32490"/>
    <n v="0"/>
    <n v="0"/>
    <n v="0"/>
    <n v="0"/>
    <n v="0"/>
    <n v="0"/>
    <n v="0"/>
    <n v="0"/>
    <n v="0"/>
    <n v="0"/>
    <n v="0"/>
    <n v="32490"/>
    <n v="0"/>
    <n v="0"/>
    <n v="0"/>
    <n v="0"/>
    <n v="0"/>
    <n v="0"/>
    <n v="0"/>
    <n v="0"/>
    <n v="0"/>
    <n v="0"/>
    <n v="0"/>
    <n v="32490"/>
    <n v="0"/>
    <n v="0"/>
    <n v="0"/>
    <n v="0"/>
    <n v="0"/>
    <n v="0"/>
    <x v="0"/>
    <x v="74"/>
    <x v="74"/>
    <x v="2"/>
    <x v="3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1"/>
    <n v="1384"/>
    <n v="0"/>
    <n v="0"/>
    <x v="48"/>
    <s v="05. AYACUCHO"/>
    <s v="01. HUAMANGA"/>
    <s v="01. AYACUCHO"/>
    <x v="0"/>
    <s v="00. RECURSOS ORDINARIOS"/>
    <s v="5. GASTOS CORRIENTES"/>
    <s v="2. GASTOS PRESUPUESTARIOS"/>
    <x v="0"/>
    <s v=" 1. RETRIBUCIONES Y COMPLEMENTOS EN EFECTIVO"/>
    <s v=" 3. PERSONAL DE LA SALUD"/>
    <s v=" 1. PROFESIONALES DE LA SALUD"/>
    <s v=" 5. PERSONAL POR SERVICIOS COMPLEMENTARIOS DE SALUD"/>
    <s v="22. SUB CUENTA - EMERGENCIA SANITARIA COVID-19 - RO"/>
    <n v="0"/>
    <n v="0"/>
    <n v="0"/>
    <n v="0"/>
    <n v="0"/>
    <n v="0"/>
    <n v="0"/>
    <n v="0"/>
    <n v="0"/>
    <n v="0"/>
    <n v="525872"/>
    <n v="479183"/>
    <n v="0"/>
    <n v="0"/>
    <n v="0"/>
    <n v="0"/>
    <n v="0"/>
    <n v="0"/>
    <n v="0"/>
    <n v="0"/>
    <n v="0"/>
    <n v="0"/>
    <n v="525872"/>
    <n v="479183"/>
    <n v="0"/>
    <n v="0"/>
    <n v="0"/>
    <n v="0"/>
    <n v="0"/>
    <n v="0"/>
    <n v="0"/>
    <n v="0"/>
    <n v="0"/>
    <n v="0"/>
    <n v="0"/>
    <n v="771081.6"/>
    <n v="0"/>
    <n v="0"/>
    <n v="0"/>
    <n v="0"/>
    <n v="0"/>
    <n v="0"/>
    <n v="0"/>
    <n v="0"/>
    <n v="0"/>
    <n v="0"/>
    <n v="0"/>
    <n v="771081.6"/>
    <n v="0"/>
    <n v="0"/>
    <n v="0"/>
    <n v="0"/>
    <n v="0"/>
    <x v="0"/>
    <x v="7"/>
    <x v="7"/>
    <x v="2"/>
    <x v="0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1"/>
    <n v="1384"/>
    <n v="0"/>
    <n v="0"/>
    <x v="48"/>
    <s v="05. AYACUCHO"/>
    <s v="01. HUAMANGA"/>
    <s v="01. AYACUCHO"/>
    <x v="0"/>
    <s v="00. RECURSOS ORDINARIOS"/>
    <s v="5. GASTOS CORRIENTES"/>
    <s v="2. GASTOS PRESUPUESTARIOS"/>
    <x v="2"/>
    <s v=" 2. CONTRATACION DE SERVICIOS"/>
    <s v=" 7. SERVICIOS PROFESIONALES Y TECNICOS"/>
    <s v=" 2. SERVICIOS DE CONSULTORIAS Y SIMILARES DESARROLLADOS POR PERSONAS NATURALES"/>
    <s v=" 7. SERVICIOS COMPLEMENTARIOS DE SALUD"/>
    <s v="22. SUB CUENTA - EMERGENCIA SANITARIA COVID-19 - RO"/>
    <n v="0"/>
    <n v="0"/>
    <n v="0"/>
    <n v="0"/>
    <n v="0"/>
    <n v="0"/>
    <n v="0"/>
    <n v="0"/>
    <n v="0"/>
    <n v="0"/>
    <n v="735968"/>
    <n v="0"/>
    <n v="0"/>
    <n v="0"/>
    <n v="0"/>
    <n v="0"/>
    <n v="0"/>
    <n v="0"/>
    <n v="0"/>
    <n v="0"/>
    <n v="0"/>
    <n v="0"/>
    <n v="735968"/>
    <n v="0"/>
    <n v="0"/>
    <n v="0"/>
    <n v="0"/>
    <n v="0"/>
    <n v="0"/>
    <n v="0"/>
    <n v="0"/>
    <n v="0"/>
    <n v="0"/>
    <n v="0"/>
    <n v="0"/>
    <n v="628000"/>
    <n v="0"/>
    <n v="0"/>
    <n v="0"/>
    <n v="0"/>
    <n v="0"/>
    <n v="0"/>
    <n v="0"/>
    <n v="0"/>
    <n v="0"/>
    <n v="0"/>
    <n v="0"/>
    <n v="597916"/>
    <n v="0"/>
    <n v="0"/>
    <n v="0"/>
    <n v="0"/>
    <n v="0"/>
    <x v="0"/>
    <x v="60"/>
    <x v="60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1"/>
    <n v="1384"/>
    <n v="0"/>
    <n v="0"/>
    <x v="48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22. SUB CUENTA - EMERGENCIA SANITARIA COVID-19 - RO"/>
    <n v="0"/>
    <n v="0"/>
    <n v="0"/>
    <n v="0"/>
    <n v="0"/>
    <n v="0"/>
    <n v="0"/>
    <n v="0"/>
    <n v="0"/>
    <n v="0"/>
    <n v="1537202.79"/>
    <n v="0"/>
    <n v="0"/>
    <n v="0"/>
    <n v="0"/>
    <n v="0"/>
    <n v="0"/>
    <n v="0"/>
    <n v="0"/>
    <n v="0"/>
    <n v="0"/>
    <n v="0"/>
    <n v="1537202.79"/>
    <n v="0"/>
    <n v="0"/>
    <n v="0"/>
    <n v="0"/>
    <n v="0"/>
    <n v="0"/>
    <n v="0"/>
    <n v="0"/>
    <n v="0"/>
    <n v="0"/>
    <n v="0"/>
    <n v="735527"/>
    <n v="709690.98"/>
    <n v="0"/>
    <n v="0"/>
    <n v="0"/>
    <n v="0"/>
    <n v="0"/>
    <n v="0"/>
    <n v="0"/>
    <n v="0"/>
    <n v="0"/>
    <n v="0"/>
    <n v="735527"/>
    <n v="701109.44"/>
    <n v="0"/>
    <n v="0"/>
    <n v="0"/>
    <n v="0"/>
    <n v="0"/>
    <x v="0"/>
    <x v="68"/>
    <x v="68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1"/>
    <n v="1384"/>
    <n v="0"/>
    <n v="0"/>
    <x v="48"/>
    <s v="05. AYACUCHO"/>
    <s v="01. HUAMANGA"/>
    <s v="01. AYACUCHO"/>
    <x v="0"/>
    <s v="00. RECURSOS ORDINARI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22. SUB CUENTA - EMERGENCIA SANITARIA COVID-19 - RO"/>
    <n v="0"/>
    <n v="0"/>
    <n v="0"/>
    <n v="0"/>
    <n v="0"/>
    <n v="0"/>
    <n v="0"/>
    <n v="0"/>
    <n v="0"/>
    <n v="0"/>
    <n v="95083.6"/>
    <n v="0"/>
    <n v="0"/>
    <n v="0"/>
    <n v="0"/>
    <n v="0"/>
    <n v="0"/>
    <n v="0"/>
    <n v="0"/>
    <n v="0"/>
    <n v="0"/>
    <n v="0"/>
    <n v="95083.6"/>
    <n v="0"/>
    <n v="0"/>
    <n v="0"/>
    <n v="0"/>
    <n v="0"/>
    <n v="0"/>
    <n v="0"/>
    <n v="0"/>
    <n v="0"/>
    <n v="0"/>
    <n v="0"/>
    <n v="0"/>
    <n v="89431"/>
    <n v="0"/>
    <n v="0"/>
    <n v="0"/>
    <n v="0"/>
    <n v="0"/>
    <n v="0"/>
    <n v="0"/>
    <n v="0"/>
    <n v="0"/>
    <n v="0"/>
    <n v="0"/>
    <n v="89431"/>
    <n v="0"/>
    <n v="0"/>
    <n v="0"/>
    <n v="0"/>
    <n v="0"/>
    <x v="0"/>
    <x v="69"/>
    <x v="69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5. GESTION DE RECURSOS HUMANOS"/>
    <s v="20. SALUD"/>
    <s v="006. GESTION"/>
    <s v="0011. PREPARACION Y PERFECCIONAMIENTO DE RECURSOS HUMANOS"/>
    <s v="00001"/>
    <s v="0053571. GESTION DE RECURSOS HUMANOS"/>
    <s v="00001 - ACCION"/>
    <n v="12"/>
    <n v="1213"/>
    <n v="0"/>
    <n v="0"/>
    <x v="3"/>
    <s v="05. AYACUCHO"/>
    <s v="01. HUAMANGA"/>
    <s v="01. AYACUCHO"/>
    <x v="0"/>
    <s v="00. RECURSOS ORDINARIOS"/>
    <s v="5. GASTOS CORRIENTES"/>
    <s v="2. GASTOS PRESUPUESTARIOS"/>
    <x v="2"/>
    <s v=" 2. CONTRATACION DE SERVICIOS"/>
    <s v=" 6. SERVICIOS ADMINISTRATIVOS, FINANCIEROS Y DE SEGUROS"/>
    <s v=" 3. SEGUROS"/>
    <s v=" 4. OTROS SEGUROS PERSONALES"/>
    <s v="7 . PLAN DE ESTIMULO ECONOMIC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59"/>
    <x v="59"/>
    <x v="1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1"/>
    <n v="1384"/>
    <n v="0"/>
    <n v="0"/>
    <x v="48"/>
    <s v="05. AYACUCHO"/>
    <s v="01. HUAMANGA"/>
    <s v="01. AYACUCHO"/>
    <x v="0"/>
    <s v="00. RECURSOS ORDINARIOS"/>
    <s v="5. GASTOS CORRIENTES"/>
    <s v="2. GASTOS PRESUPUESTARIOS"/>
    <x v="2"/>
    <s v=" 2. CONTRATACION DE SERVICIOS"/>
    <s v=" 6. SERVICIOS ADMINISTRATIVOS, FINANCIEROS Y DE SEGUROS"/>
    <s v=" 3. SEGUROS"/>
    <s v=" 4. OTROS SEGUROS PERSONALES"/>
    <s v="7 . PLAN DE ESTIMULO ECONOMIC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59"/>
    <x v="59"/>
    <x v="2"/>
    <x v="2"/>
    <s v="RO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1. ALIMENTOS Y BEBIDAS"/>
    <s v=" 1. ALIMENTOS Y BEBIDAS"/>
    <s v=" 1. ALIMENTOS Y BEBIDAS PARA CONSUMO HUMANO"/>
    <s v="0 . NORMAL"/>
    <n v="2321"/>
    <n v="2321"/>
    <n v="4642"/>
    <n v="3000"/>
    <n v="3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21"/>
    <x v="21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00. ATENCION BASICA DE SALUD"/>
    <s v="20. SALUD"/>
    <s v="044. SALUD INDIVIDUAL"/>
    <s v="0096. ATENCION MEDICA BASICA"/>
    <s v="00001"/>
    <s v="0000251. ATENCION BASICA"/>
    <s v="00006 - ATENCION"/>
    <n v="200000"/>
    <n v="100000"/>
    <n v="78000"/>
    <n v="78000"/>
    <x v="33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1. ALIMENTOS Y BEBIDAS"/>
    <s v=" 1. ALIMENTOS Y BEBIDAS"/>
    <s v=" 1. ALIMENTOS Y BEBIDAS PARA CONSUMO HUMANO"/>
    <s v="0 . NORMAL"/>
    <n v="180000"/>
    <n v="0"/>
    <n v="18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21"/>
    <x v="21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1. ALIMENTOS Y BEBIDAS"/>
    <s v=" 1. ALIMENTOS Y BEBIDAS"/>
    <s v=" 1. ALIMENTOS Y BEBIDAS PARA CONSUMO HUMANO"/>
    <s v="0 . NORMAL"/>
    <n v="1254000"/>
    <n v="75000"/>
    <n v="1329000"/>
    <n v="1175479"/>
    <n v="11754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21"/>
    <x v="21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2768"/>
    <n v="1384"/>
    <n v="1400"/>
    <n v="1400"/>
    <x v="48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1. ALIMENTOS Y BEBIDAS"/>
    <s v=" 1. ALIMENTOS Y BEBIDAS"/>
    <s v=" 1. ALIMENTOS Y BEBIDAS PARA CONSUMO HUMANO"/>
    <s v="0 . NORMAL"/>
    <n v="0"/>
    <n v="15000"/>
    <n v="15000"/>
    <n v="14998.89"/>
    <n v="14998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21"/>
    <x v="21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2. VESTUARIOS Y TEXTILES"/>
    <s v=" 1. VESTUARIO, ZAPATERIA Y ACCESORIOS, TALABARTERIA Y MATERIALES TEXTILES"/>
    <s v=" 1. VESTUARIO, ACCESORIOS Y PRENDAS DIVERSAS"/>
    <s v="0 . NORMAL"/>
    <n v="66073"/>
    <n v="0"/>
    <n v="660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22"/>
    <x v="22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2768"/>
    <n v="1384"/>
    <n v="1400"/>
    <n v="1400"/>
    <x v="48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2. VESTUARIOS Y TEXTILES"/>
    <s v=" 1. VESTUARIO, ZAPATERIA Y ACCESORIOS, TALABARTERIA Y MATERIALES TEXTILES"/>
    <s v=" 1. VESTUARIO, ACCESORIOS Y PRENDAS DIVERSAS"/>
    <s v="0 . NORMAL"/>
    <n v="0"/>
    <n v="1800"/>
    <n v="1800"/>
    <n v="1800"/>
    <n v="18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22"/>
    <x v="22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2. VESTUARIOS Y TEXTILES"/>
    <s v=" 1. VESTUARIO, ZAPATERIA Y ACCESORIOS, TALABARTERIA Y MATERIALES TEXTILES"/>
    <s v=" 2. TEXTILES Y ACABADOS TEXTILES"/>
    <s v="0 . NORMAL"/>
    <n v="64500"/>
    <n v="0"/>
    <n v="64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23"/>
    <x v="23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2768"/>
    <n v="1384"/>
    <n v="1400"/>
    <n v="1400"/>
    <x v="48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2. VESTUARIOS Y TEXTILES"/>
    <s v=" 1. VESTUARIO, ZAPATERIA Y ACCESORIOS, TALABARTERIA Y MATERIALES TEXTILES"/>
    <s v=" 3. CALZADO"/>
    <s v="0 . NORMAL"/>
    <n v="0"/>
    <n v="675"/>
    <n v="675"/>
    <n v="675"/>
    <n v="6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24"/>
    <x v="24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3. COMBUSTIBLES, CARBURANTES, LUBRICANTES Y AFINES"/>
    <s v=" 1. COMBUSTIBLES, CARBURANTES, LUBRICANTES Y AFINES"/>
    <s v=" 1. COMBUSTIBLES Y CARBURANTES"/>
    <s v="0 . NORMAL"/>
    <n v="30000"/>
    <n v="0"/>
    <n v="30000"/>
    <n v="10324"/>
    <n v="103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25"/>
    <x v="25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3. COMBUSTIBLES, CARBURANTES, LUBRICANTES Y AFINES"/>
    <s v=" 1. COMBUSTIBLES, CARBURANTES, LUBRICANTES Y AFINES"/>
    <s v=" 1. COMBUSTIBLES Y CARBURANTES"/>
    <s v="0 . NORMAL"/>
    <n v="20000"/>
    <n v="10000"/>
    <n v="3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25"/>
    <x v="25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3. COMBUSTIBLES, CARBURANTES, LUBRICANTES Y AFINES"/>
    <s v=" 1. COMBUSTIBLES, CARBURANTES, LUBRICANTES Y AFINES"/>
    <s v=" 2. GASES"/>
    <s v="0 . NORMAL"/>
    <n v="4000"/>
    <n v="0"/>
    <n v="4000"/>
    <n v="200"/>
    <n v="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26"/>
    <x v="26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3. COMBUSTIBLES, CARBURANTES, LUBRICANTES Y AFINES"/>
    <s v=" 1. COMBUSTIBLES, CARBURANTES, LUBRICANTES Y AFINES"/>
    <s v=" 2. GASES"/>
    <s v="0 . NORMAL"/>
    <n v="0"/>
    <n v="10000"/>
    <n v="1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26"/>
    <x v="26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3. COMBUSTIBLES, CARBURANTES, LUBRICANTES Y AFINES"/>
    <s v=" 1. COMBUSTIBLES, CARBURANTES, LUBRICANTES Y AFINES"/>
    <s v=" 3. LUBRICANTES, GRASAS Y AFINES"/>
    <s v="0 . NORMAL"/>
    <n v="0"/>
    <n v="7500"/>
    <n v="7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75"/>
    <x v="75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5. MATERIALES Y  UTILES"/>
    <s v=" 1. DE OFICINA"/>
    <s v=" 1. REPUESTOS Y ACCESORIOS"/>
    <s v="0 . NORMAL"/>
    <n v="0"/>
    <n v="2000"/>
    <n v="20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76"/>
    <x v="76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9. COMERCIALIZACION DE MEDICAMENTOS E INSUMOS"/>
    <s v="20. SALUD"/>
    <s v="044. SALUD INDIVIDUAL"/>
    <s v="0098. SERVICIOS DE DIAGNOSTICO Y TRATAMIENTO"/>
    <s v="00001"/>
    <s v="0001468. VENTA DE MEDICINAS"/>
    <s v="00006 - ATENCION"/>
    <n v="500000"/>
    <n v="250000"/>
    <n v="225000"/>
    <n v="225000"/>
    <x v="39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5. MATERIALES Y  UTILES"/>
    <s v=" 1. DE OFICINA"/>
    <s v=" 1. REPUESTOS Y ACCESORIOS"/>
    <s v="0 . NORMA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76"/>
    <x v="76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5. MATERIALES Y  UTILES"/>
    <s v=" 1. DE OFICINA"/>
    <s v=" 2. PAPELERIA EN GENERAL, UTILES Y MATERIALES DE OFICINA"/>
    <s v="0 . NORMAL"/>
    <n v="20000"/>
    <n v="-12626"/>
    <n v="7374"/>
    <n v="5392"/>
    <n v="53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27"/>
    <x v="27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00. ATENCION BASICA DE SALUD"/>
    <s v="20. SALUD"/>
    <s v="044. SALUD INDIVIDUAL"/>
    <s v="0096. ATENCION MEDICA BASICA"/>
    <s v="00001"/>
    <s v="0000251. ATENCION BASICA"/>
    <s v="00006 - ATENCION"/>
    <n v="200000"/>
    <n v="100000"/>
    <n v="78000"/>
    <n v="78000"/>
    <x v="33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5. MATERIALES Y  UTILES"/>
    <s v=" 1. DE OFICINA"/>
    <s v=" 2. PAPELERIA EN GENERAL, UTILES Y MATERIALES DE OFICINA"/>
    <s v="0 . NORMAL"/>
    <n v="10000"/>
    <n v="-1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27"/>
    <x v="27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2768"/>
    <n v="1384"/>
    <n v="1400"/>
    <n v="1400"/>
    <x v="48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5. MATERIALES Y  UTILES"/>
    <s v=" 1. DE OFICINA"/>
    <s v=" 2. PAPELERIA EN GENERAL, UTILES Y MATERIALES DE OFICINA"/>
    <s v="0 . NORMAL"/>
    <n v="0"/>
    <n v="27690"/>
    <n v="27690"/>
    <n v="20946.34"/>
    <n v="20946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27"/>
    <x v="27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5. MATERIALES Y  UTILES"/>
    <s v=" 3. ASEO, LIMPIEZA Y COCINA"/>
    <s v=" 1. ASEO, LIMPIEZA Y TOCADOR"/>
    <s v="0 . NORMAL"/>
    <n v="15000"/>
    <n v="5000"/>
    <n v="2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28"/>
    <x v="28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00. ATENCION BASICA DE SALUD"/>
    <s v="20. SALUD"/>
    <s v="044. SALUD INDIVIDUAL"/>
    <s v="0096. ATENCION MEDICA BASICA"/>
    <s v="00001"/>
    <s v="0000251. ATENCION BASICA"/>
    <s v="00006 - ATENCION"/>
    <n v="200000"/>
    <n v="100000"/>
    <n v="78000"/>
    <n v="78000"/>
    <x v="33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5. MATERIALES Y  UTILES"/>
    <s v=" 3. ASEO, LIMPIEZA Y COCINA"/>
    <s v=" 1. ASEO, LIMPIEZA Y TOCADOR"/>
    <s v="0 . NORMAL"/>
    <n v="15000"/>
    <n v="0"/>
    <n v="1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28"/>
    <x v="28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5. MATERIALES Y  UTILES"/>
    <s v=" 3. ASEO, LIMPIEZA Y COCINA"/>
    <s v=" 1. ASEO, LIMPIEZA Y TOCADOR"/>
    <s v="0 . NORMAL"/>
    <n v="0"/>
    <n v="20000"/>
    <n v="2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28"/>
    <x v="28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9. COMERCIALIZACION DE MEDICAMENTOS E INSUMOS"/>
    <s v="20. SALUD"/>
    <s v="044. SALUD INDIVIDUAL"/>
    <s v="0098. SERVICIOS DE DIAGNOSTICO Y TRATAMIENTO"/>
    <s v="00001"/>
    <s v="0001468. VENTA DE MEDICINAS"/>
    <s v="00006 - ATENCION"/>
    <n v="500000"/>
    <n v="250000"/>
    <n v="225000"/>
    <n v="225000"/>
    <x v="39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5. MATERIALES Y  UTILES"/>
    <s v=" 3. ASEO, LIMPIEZA Y COCINA"/>
    <s v=" 1. ASEO, LIMPIEZA Y TOCADOR"/>
    <s v="0 . NORMAL"/>
    <n v="0"/>
    <n v="4000"/>
    <n v="4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28"/>
    <x v="28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2768"/>
    <n v="1384"/>
    <n v="1400"/>
    <n v="1400"/>
    <x v="48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5. MATERIALES Y  UTILES"/>
    <s v=" 3. ASEO, LIMPIEZA Y COCINA"/>
    <s v=" 1. ASEO, LIMPIEZA Y TOCADOR"/>
    <s v="0 . NORMAL"/>
    <n v="0"/>
    <n v="10000"/>
    <n v="1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28"/>
    <x v="28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881."/>
    <s v="5.ACTIVIDAD"/>
    <s v="5005193. TRATAMIENTO CON INTERNAMIENTO DE PACIENTES CON TRASTORNO DEL COMPORTAMIENTO DEBIDO AL CONSUMO DE ALCOHOL"/>
    <s v="20. SALUD"/>
    <s v="044. SALUD INDIVIDUAL"/>
    <s v="0097. ATENCION MEDICA ESPECIALIZADA"/>
    <s v="00001"/>
    <s v="0136785. TRATAMIENTO CON INTERNAMIENTO DE PACIENTES CON TRASTORNO DEL COMPORTAMIENTO DEBIDO AL CONSUMO DE ALCOHOL"/>
    <s v="00394 - TECNICO"/>
    <n v="30"/>
    <n v="15"/>
    <n v="15"/>
    <n v="15"/>
    <x v="131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5. MATERIALES Y  UTILES"/>
    <s v=" 3. ASEO, LIMPIEZA Y COCINA"/>
    <s v=" 1. ASEO, LIMPIEZA Y TOCADOR"/>
    <s v="0 . NORMAL"/>
    <n v="0"/>
    <n v="3667"/>
    <n v="36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28"/>
    <x v="28"/>
    <x v="0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5. MATERIALES Y  UTILES"/>
    <s v=" 3. ASEO, LIMPIEZA Y COCINA"/>
    <s v=" 2. DE COCINA, COMEDOR Y CAFETERIA"/>
    <s v="0 . NORMAL"/>
    <n v="5000"/>
    <n v="0"/>
    <n v="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77"/>
    <x v="77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2768"/>
    <n v="1384"/>
    <n v="1400"/>
    <n v="1400"/>
    <x v="48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5. MATERIALES Y  UTILES"/>
    <s v=" 3. ASEO, LIMPIEZA Y COCINA"/>
    <s v=" 2. DE COCINA, COMEDOR Y CAFETERIA"/>
    <s v="0 . NORMAL"/>
    <n v="0"/>
    <n v="4500"/>
    <n v="4500"/>
    <n v="3974"/>
    <n v="39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77"/>
    <x v="77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5. MATERIALES Y  UTILES"/>
    <s v=" 4. ELECTRICIDAD, ILUMINACION Y ELECTRONICA"/>
    <s v=" 1. ELECTRICIDAD, ILUMINACION Y ELECTRONICA"/>
    <s v="0 . NORMAL"/>
    <n v="0"/>
    <n v="4000"/>
    <n v="40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29"/>
    <x v="29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9. COMERCIALIZACION DE MEDICAMENTOS E INSUMOS"/>
    <s v="20. SALUD"/>
    <s v="044. SALUD INDIVIDUAL"/>
    <s v="0098. SERVICIOS DE DIAGNOSTICO Y TRATAMIENTO"/>
    <s v="00001"/>
    <s v="0001468. VENTA DE MEDICINAS"/>
    <s v="00006 - ATENCION"/>
    <n v="500000"/>
    <n v="250000"/>
    <n v="225000"/>
    <n v="225000"/>
    <x v="39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5. MATERIALES Y  UTILES"/>
    <s v=" 4. ELECTRICIDAD, ILUMINACION Y ELECTRONICA"/>
    <s v=" 1. ELECTRICIDAD, ILUMINACION Y ELECTRONICA"/>
    <s v="0 . NORMA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29"/>
    <x v="29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5. MATERIALES Y  UTILES"/>
    <s v=" 4. ELECTRICIDAD, ILUMINACION Y ELECTRONICA"/>
    <s v=" 1. ELECTRICIDAD, ILUMINACION Y ELECTRONICA"/>
    <s v="0 . NORMAL"/>
    <n v="0"/>
    <n v="46675"/>
    <n v="466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29"/>
    <x v="29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2768"/>
    <n v="1384"/>
    <n v="1400"/>
    <n v="1400"/>
    <x v="48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5. MATERIALES Y  UTILES"/>
    <s v=" 4. ELECTRICIDAD, ILUMINACION Y ELECTRONICA"/>
    <s v=" 1. ELECTRICIDAD, ILUMINACION Y ELECTRONICA"/>
    <s v="0 . NORMAL"/>
    <n v="0"/>
    <n v="3551"/>
    <n v="3551"/>
    <n v="3550.22"/>
    <n v="3550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29"/>
    <x v="29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6. REPUESTOS Y ACCESORIOS"/>
    <s v=" 1. REPUESTOS Y ACCESORIOS"/>
    <s v=" 1. DE VEHICULOS"/>
    <s v="0 . NORMAL"/>
    <n v="0"/>
    <n v="2000"/>
    <n v="20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1"/>
    <x v="31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6. REPUESTOS Y ACCESORIOS"/>
    <s v=" 1. REPUESTOS Y ACCESORIOS"/>
    <s v=" 1. DE VEHICULOS"/>
    <s v="0 . NORMAL"/>
    <n v="0"/>
    <n v="5000"/>
    <n v="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1"/>
    <x v="31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6. REPUESTOS Y ACCESORIOS"/>
    <s v=" 1. REPUESTOS Y ACCESORIOS"/>
    <s v=" 2. DE COMUNICACIONES Y TELECOMUNICACIONES"/>
    <s v="0 . NORMAL"/>
    <n v="0"/>
    <n v="12000"/>
    <n v="12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78"/>
    <x v="78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6. REPUESTOS Y ACCESORIOS"/>
    <s v=" 1. REPUESTOS Y ACCESORIOS"/>
    <s v=" 3. DE CONSTRUCCION Y MAQUINAS"/>
    <s v="0 . NORMAL"/>
    <n v="0"/>
    <n v="8000"/>
    <n v="80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79"/>
    <x v="79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6. REPUESTOS Y ACCESORIOS"/>
    <s v=" 1. REPUESTOS Y ACCESORIOS"/>
    <s v=" 4. DE SEGURIDAD"/>
    <s v="0 . NORMAL"/>
    <n v="0"/>
    <n v="2150"/>
    <n v="21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2"/>
    <x v="32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6. REPUESTOS Y ACCESORIOS"/>
    <s v=" 1. REPUESTOS Y ACCESORIOS"/>
    <s v=" 4. DE SEGURIDAD"/>
    <s v="0 . NORMAL"/>
    <n v="0"/>
    <n v="10000"/>
    <n v="1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2"/>
    <x v="32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2768"/>
    <n v="1384"/>
    <n v="1400"/>
    <n v="1400"/>
    <x v="48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6. REPUESTOS Y ACCESORIOS"/>
    <s v=" 1. REPUESTOS Y ACCESORIOS"/>
    <s v=" 4. DE SEGURIDAD"/>
    <s v="0 . NORMAL"/>
    <n v="0"/>
    <n v="2000"/>
    <n v="2000"/>
    <n v="625"/>
    <n v="6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2"/>
    <x v="32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6. REPUESTOS Y ACCESORIOS"/>
    <s v=" 1. REPUESTOS Y ACCESORIOS"/>
    <s v="99. OTROS ACCESORIOS Y REPUESTOS"/>
    <s v="0 . NORMAL"/>
    <n v="0"/>
    <n v="2760"/>
    <n v="27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3"/>
    <x v="33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6. REPUESTOS Y ACCESORIOS"/>
    <s v=" 1. REPUESTOS Y ACCESORIOS"/>
    <s v="99. OTROS ACCESORIOS Y REPUESTOS"/>
    <s v="0 . NORMAL"/>
    <n v="0"/>
    <n v="25000"/>
    <n v="2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3"/>
    <x v="33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2768"/>
    <n v="1384"/>
    <n v="1400"/>
    <n v="1400"/>
    <x v="48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6. REPUESTOS Y ACCESORIOS"/>
    <s v=" 1. REPUESTOS Y ACCESORIOS"/>
    <s v="99. OTROS ACCESORIOS Y REPUESTOS"/>
    <s v="0 . NORMAL"/>
    <n v="0"/>
    <n v="300"/>
    <n v="300"/>
    <n v="72"/>
    <n v="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3"/>
    <x v="33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7. ENSERES"/>
    <s v=" 1. ENSERES"/>
    <s v=" 1. ENSERES"/>
    <s v="0 . NORMAL"/>
    <n v="0"/>
    <n v="5000"/>
    <n v="5000"/>
    <n v="700"/>
    <n v="7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4"/>
    <x v="34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00. ATENCION BASICA DE SALUD"/>
    <s v="20. SALUD"/>
    <s v="044. SALUD INDIVIDUAL"/>
    <s v="0096. ATENCION MEDICA BASICA"/>
    <s v="00001"/>
    <s v="0000251. ATENCION BASICA"/>
    <s v="00006 - ATENCION"/>
    <n v="200000"/>
    <n v="100000"/>
    <n v="78000"/>
    <n v="78000"/>
    <x v="33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7. ENSERES"/>
    <s v=" 1. ENSERES"/>
    <s v=" 1. ENSERES"/>
    <s v="0 . NORMAL"/>
    <n v="10000"/>
    <n v="-9800"/>
    <n v="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4"/>
    <x v="34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7. ENSERES"/>
    <s v=" 1. ENSERES"/>
    <s v=" 1. ENSERES"/>
    <s v="0 . NORMAL"/>
    <n v="0"/>
    <n v="15000"/>
    <n v="1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4"/>
    <x v="34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9. COMERCIALIZACION DE MEDICAMENTOS E INSUMOS"/>
    <s v="20. SALUD"/>
    <s v="044. SALUD INDIVIDUAL"/>
    <s v="0098. SERVICIOS DE DIAGNOSTICO Y TRATAMIENTO"/>
    <s v="00001"/>
    <s v="0001468. VENTA DE MEDICINAS"/>
    <s v="00006 - ATENCION"/>
    <n v="500000"/>
    <n v="250000"/>
    <n v="225000"/>
    <n v="225000"/>
    <x v="39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7. ENSERES"/>
    <s v=" 1. ENSERES"/>
    <s v=" 1. ENSERES"/>
    <s v="0 . NORMA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4"/>
    <x v="34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700."/>
    <s v="5.ACTIVIDAD"/>
    <s v="5005190. TRATAMIENTO AMBULATORIO DE PERSONAS CON TRANSTORNOS AFECTIVOS (DEPRESION Y CONDUCTA SUICIDA) Y DE ANSIEDAD"/>
    <s v="20. SALUD"/>
    <s v="044. SALUD INDIVIDUAL"/>
    <s v="0097. ATENCION MEDICA ESPECIALIZADA"/>
    <s v="00001"/>
    <s v="0136782. TRATAMIENTO AMBULATORIO DEPERSONAS CON TRASTORNOS AFECTIVOS (DEPRESION Y CONDUCTA SUICIDA) Y DE ANSIEDAD"/>
    <s v="00394 - TECNICO"/>
    <n v="80"/>
    <n v="40"/>
    <n v="16"/>
    <n v="16"/>
    <x v="63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8. SUMINISTROS MEDICOS"/>
    <s v=" 1. PRODUCTOS FARMACEUTICOS"/>
    <s v=" 2. MEDICAMENTOS"/>
    <s v="0 . NORMAL"/>
    <n v="0"/>
    <n v="425"/>
    <n v="4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5"/>
    <x v="35"/>
    <x v="0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700."/>
    <s v="5.ACTIVIDAD"/>
    <s v="5005191. TRATAMIENTO CON INTERNAMIENTO DE PERSONAS CON TRASTORNOS AFECTIVOS Y DE ANSIEDAD"/>
    <s v="20. SALUD"/>
    <s v="044. SALUD INDIVIDUAL"/>
    <s v="0097. ATENCION MEDICA ESPECIALIZADA"/>
    <s v="00001"/>
    <s v="0136783. TRATAMIENTO CON INTERNAMIENTO DE PERSONAS CON TRASTORNOS AFECTIVOS Y DE ANSIEDAD"/>
    <s v="00394 - TECNICO"/>
    <n v="50"/>
    <n v="25"/>
    <n v="20"/>
    <n v="20"/>
    <x v="64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8. SUMINISTROS MEDICOS"/>
    <s v=" 1. PRODUCTOS FARMACEUTICOS"/>
    <s v=" 2. MEDICAMENTOS"/>
    <s v="0 . NORMAL"/>
    <n v="0"/>
    <n v="1573"/>
    <n v="15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5"/>
    <x v="35"/>
    <x v="0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881."/>
    <s v="5.ACTIVIDAD"/>
    <s v="5006282. TRATAMIENTO AMBULATORIO DE PERSONAS CON TRASTORNO DEL COMPORTAMIENTO DEBIDO AL CONSUMO DE ALCOHOL Y TABACO"/>
    <s v="20. SALUD"/>
    <s v="044. SALUD INDIVIDUAL"/>
    <s v="0097. ATENCION MEDICA ESPECIALIZADA"/>
    <s v="00001"/>
    <s v="0289991. TRATAMIENTO AMBULATORIO DE PERSONAS CON TRASTORNO DEL COMPORTAMIENTO DEBIDO AL CONSUMO DE ALCOHOL Y TABACO"/>
    <s v="00394 - TECNICO"/>
    <n v="54"/>
    <n v="27"/>
    <n v="21"/>
    <n v="21"/>
    <x v="127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8. SUMINISTROS MEDICOS"/>
    <s v=" 1. PRODUCTOS FARMACEUTICOS"/>
    <s v=" 2. MEDICAMENTOS"/>
    <s v="0 . NORMAL"/>
    <n v="0"/>
    <n v="357"/>
    <n v="3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5"/>
    <x v="35"/>
    <x v="0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8. SUMINISTROS MEDICOS"/>
    <s v=" 1. PRODUCTOS FARMACEUTICOS"/>
    <s v=" 2. MEDICAMENTOS"/>
    <s v="0 . NORMAL"/>
    <n v="5000"/>
    <n v="0"/>
    <n v="50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5"/>
    <x v="35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00. ATENCION BASICA DE SALUD"/>
    <s v="20. SALUD"/>
    <s v="044. SALUD INDIVIDUAL"/>
    <s v="0096. ATENCION MEDICA BASICA"/>
    <s v="00001"/>
    <s v="0000251. ATENCION BASICA"/>
    <s v="00006 - ATENCION"/>
    <n v="200000"/>
    <n v="100000"/>
    <n v="78000"/>
    <n v="78000"/>
    <x v="33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8. SUMINISTROS MEDICOS"/>
    <s v=" 1. PRODUCTOS FARMACEUTICOS"/>
    <s v=" 2. MEDICAMENTOS"/>
    <s v="0 . NORMAL"/>
    <n v="20000"/>
    <n v="0"/>
    <n v="2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5"/>
    <x v="35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9. COMERCIALIZACION DE MEDICAMENTOS E INSUMOS"/>
    <s v="20. SALUD"/>
    <s v="044. SALUD INDIVIDUAL"/>
    <s v="0098. SERVICIOS DE DIAGNOSTICO Y TRATAMIENTO"/>
    <s v="00001"/>
    <s v="0001468. VENTA DE MEDICINAS"/>
    <s v="00006 - ATENCION"/>
    <n v="500000"/>
    <n v="250000"/>
    <n v="225000"/>
    <n v="225000"/>
    <x v="39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8. SUMINISTROS MEDICOS"/>
    <s v=" 1. PRODUCTOS FARMACEUTICOS"/>
    <s v=" 2. MEDICAMENTOS"/>
    <s v="0 . NORMAL"/>
    <n v="50000"/>
    <n v="574000"/>
    <n v="624000"/>
    <n v="380995.4"/>
    <n v="23359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5"/>
    <x v="35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2768"/>
    <n v="1384"/>
    <n v="1400"/>
    <n v="1400"/>
    <x v="48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8. SUMINISTROS MEDICOS"/>
    <s v=" 1. PRODUCTOS FARMACEUTICOS"/>
    <s v=" 2. MEDICAMENTOS"/>
    <s v="0 . NORMAL"/>
    <n v="0"/>
    <n v="129210"/>
    <n v="1292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5"/>
    <x v="35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881."/>
    <s v="5.ACTIVIDAD"/>
    <s v="5005194. REHABILITACION PSICOSOCIAL DE PERSONAS CON TRASTORNOS DEL COMPORTAMIENTO DEBIDO AL CONSUMO DE ALCOHOL"/>
    <s v="20. SALUD"/>
    <s v="044. SALUD INDIVIDUAL"/>
    <s v="0097. ATENCION MEDICA ESPECIALIZADA"/>
    <s v="00001"/>
    <s v="0136786. REHABILITACION PSICOSOCIAL DE PERSONAS CON TRASTORNOS DEL COMPORTAMIENTO DEBIDO AL CONSUMO DE ALCOHOL"/>
    <s v="00087 - PERSONA ATENDIDA"/>
    <n v="5"/>
    <n v="3"/>
    <n v="3"/>
    <n v="3"/>
    <x v="13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8. SUMINISTROS MEDICOS"/>
    <s v=" 1. PRODUCTOS FARMACEUTICOS"/>
    <s v=" 2. MEDICAMENTOS"/>
    <s v="0 . NORMAL"/>
    <n v="0"/>
    <n v="315"/>
    <n v="3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5"/>
    <x v="35"/>
    <x v="0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9. COMERCIALIZACION DE MEDICAMENTOS E INSUMOS"/>
    <s v="20. SALUD"/>
    <s v="044. SALUD INDIVIDUAL"/>
    <s v="0098. SERVICIOS DE DIAGNOSTICO Y TRATAMIENTO"/>
    <s v="00001"/>
    <s v="0001468. VENTA DE MEDICINAS"/>
    <s v="00006 - ATENCION"/>
    <n v="500000"/>
    <n v="250000"/>
    <n v="225000"/>
    <n v="225000"/>
    <x v="39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8. SUMINISTROS MEDICOS"/>
    <s v=" 1. PRODUCTOS FARMACEUTICOS"/>
    <s v="99. OTROS PRODUCTOS SIMILARES"/>
    <s v="0 . NORMAL"/>
    <n v="5000"/>
    <n v="37330"/>
    <n v="42330"/>
    <n v="42329.4"/>
    <n v="10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80"/>
    <x v="80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700."/>
    <s v="5.ACTIVIDAD"/>
    <s v="5005190. TRATAMIENTO AMBULATORIO DE PERSONAS CON TRANSTORNOS AFECTIVOS (DEPRESION Y CONDUCTA SUICIDA) Y DE ANSIEDAD"/>
    <s v="20. SALUD"/>
    <s v="044. SALUD INDIVIDUAL"/>
    <s v="0097. ATENCION MEDICA ESPECIALIZADA"/>
    <s v="00001"/>
    <s v="0136782. TRATAMIENTO AMBULATORIO DEPERSONAS CON TRASTORNOS AFECTIVOS (DEPRESION Y CONDUCTA SUICIDA) Y DE ANSIEDAD"/>
    <s v="00394 - TECNICO"/>
    <n v="80"/>
    <n v="40"/>
    <n v="16"/>
    <n v="16"/>
    <x v="63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1000"/>
    <n v="525"/>
    <n v="15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6"/>
    <x v="36"/>
    <x v="0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881."/>
    <s v="5.ACTIVIDAD"/>
    <s v="5006282. TRATAMIENTO AMBULATORIO DE PERSONAS CON TRASTORNO DEL COMPORTAMIENTO DEBIDO AL CONSUMO DE ALCOHOL Y TABACO"/>
    <s v="20. SALUD"/>
    <s v="044. SALUD INDIVIDUAL"/>
    <s v="0097. ATENCION MEDICA ESPECIALIZADA"/>
    <s v="00001"/>
    <s v="0289991. TRATAMIENTO AMBULATORIO DE PERSONAS CON TRASTORNO DEL COMPORTAMIENTO DEBIDO AL CONSUMO DE ALCOHOL Y TABACO"/>
    <s v="00394 - TECNICO"/>
    <n v="54"/>
    <n v="27"/>
    <n v="21"/>
    <n v="21"/>
    <x v="127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525"/>
    <n v="5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6"/>
    <x v="36"/>
    <x v="0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10000"/>
    <n v="0"/>
    <n v="100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6"/>
    <x v="36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00. ATENCION BASICA DE SALUD"/>
    <s v="20. SALUD"/>
    <s v="044. SALUD INDIVIDUAL"/>
    <s v="0096. ATENCION MEDICA BASICA"/>
    <s v="00001"/>
    <s v="0000251. ATENCION BASICA"/>
    <s v="00006 - ATENCION"/>
    <n v="200000"/>
    <n v="100000"/>
    <n v="78000"/>
    <n v="78000"/>
    <x v="33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30000"/>
    <n v="0"/>
    <n v="3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6"/>
    <x v="36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10876"/>
    <n v="443977"/>
    <n v="454853"/>
    <n v="348377.58"/>
    <n v="74720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6"/>
    <x v="36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9. COMERCIALIZACION DE MEDICAMENTOS E INSUMOS"/>
    <s v="20. SALUD"/>
    <s v="044. SALUD INDIVIDUAL"/>
    <s v="0098. SERVICIOS DE DIAGNOSTICO Y TRATAMIENTO"/>
    <s v="00001"/>
    <s v="0001468. VENTA DE MEDICINAS"/>
    <s v="00006 - ATENCION"/>
    <n v="500000"/>
    <n v="250000"/>
    <n v="225000"/>
    <n v="225000"/>
    <x v="39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50000"/>
    <n v="580000"/>
    <n v="630000"/>
    <n v="513959.2"/>
    <n v="41463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6"/>
    <x v="36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881."/>
    <s v="5.ACTIVIDAD"/>
    <s v="5005194. REHABILITACION PSICOSOCIAL DE PERSONAS CON TRASTORNOS DEL COMPORTAMIENTO DEBIDO AL CONSUMO DE ALCOHOL"/>
    <s v="20. SALUD"/>
    <s v="044. SALUD INDIVIDUAL"/>
    <s v="0097. ATENCION MEDICA ESPECIALIZADA"/>
    <s v="00001"/>
    <s v="0136786. REHABILITACION PSICOSOCIAL DE PERSONAS CON TRASTORNOS DEL COMPORTAMIENTO DEBIDO AL CONSUMO DE ALCOHOL"/>
    <s v="00087 - PERSONA ATENDIDA"/>
    <n v="5"/>
    <n v="3"/>
    <n v="3"/>
    <n v="3"/>
    <x v="13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262"/>
    <n v="2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6"/>
    <x v="36"/>
    <x v="0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700."/>
    <s v="5.ACTIVIDAD"/>
    <s v="5005190. TRATAMIENTO AMBULATORIO DE PERSONAS CON TRANSTORNOS AFECTIVOS (DEPRESION Y CONDUCTA SUICIDA) Y DE ANSIEDAD"/>
    <s v="20. SALUD"/>
    <s v="044. SALUD INDIVIDUAL"/>
    <s v="0097. ATENCION MEDICA ESPECIALIZADA"/>
    <s v="00001"/>
    <s v="0136782. TRATAMIENTO AMBULATORIO DEPERSONAS CON TRASTORNOS AFECTIVOS (DEPRESION Y CONDUCTA SUICIDA) Y DE ANSIEDAD"/>
    <s v="00394 - TECNICO"/>
    <n v="80"/>
    <n v="40"/>
    <n v="16"/>
    <n v="16"/>
    <x v="63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9. MATERIALES Y UTILES DE ENSEÑANZA"/>
    <s v=" 1. MATERIALES Y UTILES DE ENSEÑANZA"/>
    <s v=" 2. MATERIAL DIDACTICO, ACCESORIOS Y UTILES DE ENSEÑANZA"/>
    <s v="0 . NORMAL"/>
    <n v="0"/>
    <n v="886"/>
    <n v="8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7"/>
    <x v="37"/>
    <x v="0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11. SUMINISTROS PARA MANTENIMIENTO Y REPARACION"/>
    <s v=" 1. SUMINISTROS PARA MANTENIMIENTO Y REPARACION"/>
    <s v=" 1. PARA EDIFICIOS Y ESTRUCTURAS"/>
    <s v="0 . NORMAL"/>
    <n v="0"/>
    <n v="2000"/>
    <n v="2000"/>
    <n v="700"/>
    <n v="7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9"/>
    <x v="39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1"/>
    <s v="09. RECURSOS DIRECTAMENTE RECAUDADOS"/>
    <s v="5. GASTOS CORRIENTES"/>
    <s v="2. GASTOS PRESUPUESTARIOS"/>
    <x v="2"/>
    <s v=" 1. COMPRA DE BIENES"/>
    <s v="11. SUMINISTROS PARA MANTENIMIENTO Y REPARACION"/>
    <s v=" 1. SUMINISTROS PARA MANTENIMIENTO Y REPARACION"/>
    <s v=" 1. PARA EDIFICIOS Y ESTRUCTURAS"/>
    <s v="0 . NORMAL"/>
    <n v="0"/>
    <n v="6000"/>
    <n v="6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9"/>
    <x v="39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11. SUMINISTROS PARA MANTENIMIENTO Y REPARACION"/>
    <s v=" 1. SUMINISTROS PARA MANTENIMIENTO Y REPARACION"/>
    <s v=" 2. PARA VEHICULOS"/>
    <s v="0 . NORMAL"/>
    <n v="0"/>
    <n v="1400"/>
    <n v="1400"/>
    <n v="700"/>
    <n v="7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40"/>
    <x v="40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1"/>
    <s v="09. RECURSOS DIRECTAMENTE RECAUDADOS"/>
    <s v="5. GASTOS CORRIENTES"/>
    <s v="2. GASTOS PRESUPUESTARIOS"/>
    <x v="2"/>
    <s v=" 1. COMPRA DE BIENES"/>
    <s v="11. SUMINISTROS PARA MANTENIMIENTO Y REPARACION"/>
    <s v=" 1. SUMINISTROS PARA MANTENIMIENTO Y REPARACION"/>
    <s v=" 2. PARA VEHICULOS"/>
    <s v="0 . NORMAL"/>
    <n v="0"/>
    <n v="6000"/>
    <n v="6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40"/>
    <x v="40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11. SUMINISTROS PARA MANTENIMIENTO Y REPARACION"/>
    <s v=" 1. SUMINISTROS PARA MANTENIMIENTO Y REPARACION"/>
    <s v=" 4. PARA MAQUINARIAS Y EQUIPOS"/>
    <s v="0 . NORMAL"/>
    <n v="0"/>
    <n v="1430"/>
    <n v="1430"/>
    <n v="700"/>
    <n v="7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81"/>
    <x v="81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1"/>
    <s v="09. RECURSOS DIRECTAMENTE RECAUDADOS"/>
    <s v="5. GASTOS CORRIENTES"/>
    <s v="2. GASTOS PRESUPUESTARIOS"/>
    <x v="2"/>
    <s v=" 1. COMPRA DE BIENES"/>
    <s v="11. SUMINISTROS PARA MANTENIMIENTO Y REPARACION"/>
    <s v=" 1. SUMINISTROS PARA MANTENIMIENTO Y REPARACION"/>
    <s v=" 4. PARA MAQUINARIAS Y EQUIPOS"/>
    <s v="0 . NORMAL"/>
    <n v="0"/>
    <n v="6000"/>
    <n v="6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81"/>
    <x v="81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11. SUMINISTROS PARA MANTENIMIENTO Y REPARACION"/>
    <s v=" 1. SUMINISTROS PARA MANTENIMIENTO Y REPARACION"/>
    <s v=" 5. OTROS MATERIALES DE MANTENIMIENTO"/>
    <s v="0 . NORMAL"/>
    <n v="0"/>
    <n v="1876"/>
    <n v="1876"/>
    <n v="700"/>
    <n v="7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41"/>
    <x v="41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9. COMERCIALIZACION DE MEDICAMENTOS E INSUMOS"/>
    <s v="20. SALUD"/>
    <s v="044. SALUD INDIVIDUAL"/>
    <s v="0098. SERVICIOS DE DIAGNOSTICO Y TRATAMIENTO"/>
    <s v="00001"/>
    <s v="0001468. VENTA DE MEDICINAS"/>
    <s v="00006 - ATENCION"/>
    <n v="500000"/>
    <n v="250000"/>
    <n v="225000"/>
    <n v="225000"/>
    <x v="39"/>
    <s v="05. AYACUCHO"/>
    <s v="01. HUAMANGA"/>
    <s v="01. AYACUCHO"/>
    <x v="1"/>
    <s v="09. RECURSOS DIRECTAMENTE RECAUDADOS"/>
    <s v="5. GASTOS CORRIENTES"/>
    <s v="2. GASTOS PRESUPUESTARIOS"/>
    <x v="2"/>
    <s v=" 1. COMPRA DE BIENES"/>
    <s v="11. SUMINISTROS PARA MANTENIMIENTO Y REPARACION"/>
    <s v=" 1. SUMINISTROS PARA MANTENIMIENTO Y REPARACION"/>
    <s v=" 5. OTROS MATERIALES DE MANTENIMIENTO"/>
    <s v="0 . NORMAL"/>
    <n v="0"/>
    <n v="1060"/>
    <n v="10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41"/>
    <x v="41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1"/>
    <s v="09. RECURSOS DIRECTAMENTE RECAUDADOS"/>
    <s v="5. GASTOS CORRIENTES"/>
    <s v="2. GASTOS PRESUPUESTARIOS"/>
    <x v="2"/>
    <s v=" 1. COMPRA DE BIENES"/>
    <s v="11. SUMINISTROS PARA MANTENIMIENTO Y REPARACION"/>
    <s v=" 1. SUMINISTROS PARA MANTENIMIENTO Y REPARACION"/>
    <s v=" 5. OTROS MATERIALES DE MANTENIMIENTO"/>
    <s v="0 . NORMAL"/>
    <n v="0"/>
    <n v="25000"/>
    <n v="2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41"/>
    <x v="41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11. SUMINISTROS PARA MANTENIMIENTO Y REPARACION"/>
    <s v=" 1. SUMINISTROS PARA MANTENIMIENTO Y REPARACION"/>
    <s v=" 6. MATERIALES DE  ACONDICIONAMIENTO"/>
    <s v="0 . NORMAL"/>
    <n v="0"/>
    <n v="1448"/>
    <n v="1448"/>
    <n v="700"/>
    <n v="7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82"/>
    <x v="82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99. COMPRA DE OTROS BIENES"/>
    <s v=" 1. COMPRA DE OTROS BIENES"/>
    <s v=" 1. HERRAMIENTAS"/>
    <s v="0 . NORMAL"/>
    <n v="0"/>
    <n v="300"/>
    <n v="3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83"/>
    <x v="83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0"/>
    <s v=" ."/>
    <s v="3000881."/>
    <s v="5.ACTIVIDAD"/>
    <s v="5006282. TRATAMIENTO AMBULATORIO DE PERSONAS CON TRASTORNO DEL COMPORTAMIENTO DEBIDO AL CONSUMO DE ALCOHOL Y TABACO"/>
    <s v="20. SALUD"/>
    <s v="044. SALUD INDIVIDUAL"/>
    <s v="0097. ATENCION MEDICA ESPECIALIZADA"/>
    <s v="00001"/>
    <s v="0289991. TRATAMIENTO AMBULATORIO DE PERSONAS CON TRASTORNO DEL COMPORTAMIENTO DEBIDO AL CONSUMO DE ALCOHOL Y TABACO"/>
    <s v="00394 - TECNICO"/>
    <n v="54"/>
    <n v="27"/>
    <n v="21"/>
    <n v="21"/>
    <x v="127"/>
    <s v="05. AYACUCHO"/>
    <s v="01. HUAMANGA"/>
    <s v="01. AYACUCHO"/>
    <x v="1"/>
    <s v="09. RECURSOS DIRECTAMENTE RECAUDADOS"/>
    <s v="5. GASTOS CORRIENTES"/>
    <s v="2. GASTOS PRESUPUESTARIOS"/>
    <x v="2"/>
    <s v=" 1. COMPRA DE BIENES"/>
    <s v="99. COMPRA DE OTROS BIENES"/>
    <s v=" 1. COMPRA DE OTROS BIENES"/>
    <s v=" 3. LIBROS, DIARIOS, REVISTAS Y OTROS BIENES IMPRESOS NO VINCULADOS A ENSEÑANZA"/>
    <s v="0 . NORMAL"/>
    <n v="0"/>
    <n v="535"/>
    <n v="5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42"/>
    <x v="42"/>
    <x v="0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99. COMPRA DE OTROS BIENES"/>
    <s v=" 1. COMPRA DE OTROS BIENES"/>
    <s v=" 3. LIBROS, DIARIOS, REVISTAS Y OTROS BIENES IMPRESOS NO VINCULADOS A ENSEÑANZA"/>
    <s v="0 . NORMAL"/>
    <n v="5000"/>
    <n v="10000"/>
    <n v="15000"/>
    <n v="975"/>
    <n v="9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42"/>
    <x v="42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9. COMERCIALIZACION DE MEDICAMENTOS E INSUMOS"/>
    <s v="20. SALUD"/>
    <s v="044. SALUD INDIVIDUAL"/>
    <s v="0098. SERVICIOS DE DIAGNOSTICO Y TRATAMIENTO"/>
    <s v="00001"/>
    <s v="0001468. VENTA DE MEDICINAS"/>
    <s v="00006 - ATENCION"/>
    <n v="500000"/>
    <n v="250000"/>
    <n v="225000"/>
    <n v="225000"/>
    <x v="39"/>
    <s v="05. AYACUCHO"/>
    <s v="01. HUAMANGA"/>
    <s v="01. AYACUCHO"/>
    <x v="1"/>
    <s v="09. RECURSOS DIRECTAMENTE RECAUDADOS"/>
    <s v="5. GASTOS CORRIENTES"/>
    <s v="2. GASTOS PRESUPUESTARIOS"/>
    <x v="2"/>
    <s v=" 1. COMPRA DE BIENES"/>
    <s v="99. COMPRA DE OTROS BIENES"/>
    <s v=" 1. COMPRA DE OTROS BIENES"/>
    <s v=" 3. LIBROS, DIARIOS, REVISTAS Y OTROS BIENES IMPRESOS NO VINCULADOS A ENSEÑANZA"/>
    <s v="0 . NORMAL"/>
    <n v="0"/>
    <n v="20000"/>
    <n v="2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42"/>
    <x v="42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99. COMPRA DE OTROS BIENES"/>
    <s v=" 1. COMPRA DE OTROS BIENES"/>
    <s v=" 4. SIMBOLOS, DISTINTIVOS Y CONDECORACIONES"/>
    <s v="0 . NORMAL"/>
    <n v="0"/>
    <n v="2000"/>
    <n v="2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84"/>
    <x v="84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9. COMERCIALIZACION DE MEDICAMENTOS E INSUMOS"/>
    <s v="20. SALUD"/>
    <s v="044. SALUD INDIVIDUAL"/>
    <s v="0098. SERVICIOS DE DIAGNOSTICO Y TRATAMIENTO"/>
    <s v="00001"/>
    <s v="0001468. VENTA DE MEDICINAS"/>
    <s v="00006 - ATENCION"/>
    <n v="500000"/>
    <n v="250000"/>
    <n v="225000"/>
    <n v="225000"/>
    <x v="39"/>
    <s v="05. AYACUCHO"/>
    <s v="01. HUAMANGA"/>
    <s v="01. AYACUCHO"/>
    <x v="1"/>
    <s v="09. RECURSOS DIRECTAMENTE RECAUDADOS"/>
    <s v="5. GASTOS CORRIENTES"/>
    <s v="2. GASTOS PRESUPUESTARIOS"/>
    <x v="2"/>
    <s v=" 1. COMPRA DE BIENES"/>
    <s v="99. COMPRA DE OTROS BIENES"/>
    <s v=" 1. COMPRA DE OTROS BIENES"/>
    <s v="99. OTROS BIENES"/>
    <s v="0 . NORMAL"/>
    <n v="0"/>
    <n v="32610"/>
    <n v="326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43"/>
    <x v="43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1. VIAJES"/>
    <s v=" 2. VIAJES DOMESTICOS"/>
    <s v=" 1. PASAJES Y GASTOS DE TRANSPORTE"/>
    <s v="0 . NORMAL"/>
    <n v="5733"/>
    <n v="0"/>
    <n v="5733"/>
    <n v="400"/>
    <n v="4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44"/>
    <x v="44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1. VIAJES"/>
    <s v=" 2. VIAJES DOMESTICOS"/>
    <s v=" 1. PASAJES Y GASTOS DE TRANSPORTE"/>
    <s v="0 . NORMAL"/>
    <n v="10000"/>
    <n v="0"/>
    <n v="1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44"/>
    <x v="44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1. VIAJES"/>
    <s v=" 2. VIAJES DOMESTICOS"/>
    <s v=" 2. VIATICOS Y ASIGNACIONES POR COMISION DE SERVICIO"/>
    <s v="0 . NORMAL"/>
    <n v="20000"/>
    <n v="0"/>
    <n v="200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45"/>
    <x v="45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1. VIAJES"/>
    <s v=" 2. VIAJES DOMESTICOS"/>
    <s v=" 2. VIATICOS Y ASIGNACIONES POR COMISION DE SERVICIO"/>
    <s v="0 . NORMAL"/>
    <n v="30000"/>
    <n v="0"/>
    <n v="30000"/>
    <n v="3400"/>
    <n v="15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45"/>
    <x v="45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195. SERVICIOS GENERALES"/>
    <s v="20. SALUD"/>
    <s v="044. SALUD INDIVIDUAL"/>
    <s v="0096. ATENCION MEDICA BASICA"/>
    <s v="00001"/>
    <s v="0000299. BRINDAR ATENCION BASICA DE SALUD"/>
    <s v="00107 - SERVICIO"/>
    <n v="107"/>
    <n v="53"/>
    <n v="45"/>
    <n v="45"/>
    <x v="5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2. SERVICIOS BASICOS, COMUNICACIONES, PUBLICIDAD Y DIFUSION"/>
    <s v=" 2. SERVICIOS DE TELEFONIA E INTERNET"/>
    <s v=" 1. SERVICIO DE TELEFONIA MOVIL"/>
    <s v="0 . NORMAL"/>
    <n v="2000"/>
    <n v="-1271"/>
    <n v="7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48"/>
    <x v="48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195. SERVICIOS GENERALES"/>
    <s v="20. SALUD"/>
    <s v="044. SALUD INDIVIDUAL"/>
    <s v="0096. ATENCION MEDICA BASICA"/>
    <s v="00001"/>
    <s v="0000299. BRINDAR ATENCION BASICA DE SALUD"/>
    <s v="00107 - SERVICIO"/>
    <n v="107"/>
    <n v="53"/>
    <n v="45"/>
    <n v="45"/>
    <x v="5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2. SERVICIOS BASICOS, COMUNICACIONES, PUBLICIDAD Y DIFUSION"/>
    <s v=" 2. SERVICIOS DE TELEFONIA E INTERNET"/>
    <s v=" 2. SERVICIO DE TELEFONIA FIJA"/>
    <s v="0 . NORMAL"/>
    <n v="3000"/>
    <n v="0"/>
    <n v="3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49"/>
    <x v="49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2768"/>
    <n v="1384"/>
    <n v="1400"/>
    <n v="1400"/>
    <x v="48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2. SERVICIOS BASICOS, COMUNICACIONES, PUBLICIDAD Y DIFUSION"/>
    <s v=" 2. SERVICIOS DE TELEFONIA E INTERNET"/>
    <s v=" 3. SERVICIO DE INTERNET"/>
    <s v="0 . NORMAL"/>
    <n v="0"/>
    <n v="1271"/>
    <n v="1271"/>
    <n v="1270.8"/>
    <n v="127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50"/>
    <x v="50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2. SERVICIOS BASICOS, COMUNICACIONES, PUBLICIDAD Y DIFUSION"/>
    <s v=" 3. SERVICIOS DE MENSAJERIA, TELECOMUNICACIONES Y OTROS AFINES"/>
    <s v=" 1. CORREOS Y SERVICIOS DE MENSAJERIA"/>
    <s v="0 . NORMAL"/>
    <n v="5525"/>
    <n v="20000"/>
    <n v="25525"/>
    <n v="7366"/>
    <n v="73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51"/>
    <x v="51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2. SERVICIOS BASICOS, COMUNICACIONES, PUBLICIDAD Y DIFUSION"/>
    <s v=" 3. SERVICIOS DE MENSAJERIA, TELECOMUNICACIONES Y OTROS AFINES"/>
    <s v="99. OTROS SERVICIOS DE COMUNICACION"/>
    <s v="0 . NORMAL"/>
    <n v="0"/>
    <n v="3000"/>
    <n v="3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52"/>
    <x v="52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2. SERVICIOS BASICOS, COMUNICACIONES, PUBLICIDAD Y DIFUSION"/>
    <s v=" 4. SERVICIO DE PUBLICIDAD, IMPRESIONES, DIFUSION E IMAGEN INSTITUCIONAL"/>
    <s v=" 1. SERVICIO DE PUBLICIDAD"/>
    <s v="0 . NORMAL"/>
    <n v="3000"/>
    <n v="3000"/>
    <n v="60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85"/>
    <x v="85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2. SERVICIOS BASICOS, COMUNICACIONES, PUBLICIDAD Y DIFUSION"/>
    <s v=" 4. SERVICIO DE PUBLICIDAD, IMPRESIONES, DIFUSION E IMAGEN INSTITUCIONAL"/>
    <s v=" 3. SERVICIOS DE IMAGEN INSTITUCIONAL"/>
    <s v="0 . NORMAL"/>
    <n v="0"/>
    <n v="800"/>
    <n v="800"/>
    <n v="400"/>
    <n v="4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86"/>
    <x v="86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377. MEJORAMIENTO DE LA OFERTA DE LOS SERVICIOS DE SALUD"/>
    <s v="20. SALUD"/>
    <s v="044. SALUD INDIVIDUAL"/>
    <s v="0097. ATENCION MEDICA ESPECIALIZADA"/>
    <s v="00001"/>
    <s v="0006831. MEJORAR LA ATENCION A LA POBLACION"/>
    <s v="00006 - ATENCION"/>
    <n v="2400"/>
    <n v="1200"/>
    <n v="940"/>
    <n v="940"/>
    <x v="3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3. SERVICIOS DE LIMPIEZA, SEGURIDAD Y VIGILANCIA"/>
    <s v=" 1. SERVICIOS DE LIMPIEZA, SEGURIDAD Y VIGILANCIA"/>
    <s v=" 1. SERVICIOS DE LIMPIEZA E HIGIENE"/>
    <s v="0 . NORMAL"/>
    <n v="0"/>
    <n v="100000"/>
    <n v="10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53"/>
    <x v="53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3. SERVICIOS DE LIMPIEZA, SEGURIDAD Y VIGILANCIA"/>
    <s v=" 1. SERVICIOS DE LIMPIEZA, SEGURIDAD Y VIGILANCIA"/>
    <s v=" 2. SERVICIOS DE SEGURIDAD Y VIGILANCIA"/>
    <s v="0 . NORMAL"/>
    <n v="20000"/>
    <n v="0"/>
    <n v="2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54"/>
    <x v="54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377. MEJORAMIENTO DE LA OFERTA DE LOS SERVICIOS DE SALUD"/>
    <s v="20. SALUD"/>
    <s v="044. SALUD INDIVIDUAL"/>
    <s v="0097. ATENCION MEDICA ESPECIALIZADA"/>
    <s v="00001"/>
    <s v="0006831. MEJORAR LA ATENCION A LA POBLACION"/>
    <s v="00006 - ATENCION"/>
    <n v="2400"/>
    <n v="1200"/>
    <n v="940"/>
    <n v="940"/>
    <x v="3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3. SERVICIOS DE LIMPIEZA, SEGURIDAD Y VIGILANCIA"/>
    <s v=" 1. SERVICIOS DE LIMPIEZA, SEGURIDAD Y VIGILANCIA"/>
    <s v=" 2. SERVICIOS DE SEGURIDAD Y VIGILANCIA"/>
    <s v="0 . NORMAL"/>
    <n v="0"/>
    <n v="100000"/>
    <n v="10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54"/>
    <x v="54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4. SERVICIO DE MANTENIMIENTO, ACONDICIONAMIENTO Y  REPARACIONES"/>
    <s v=" 2. DE EDIFICACIONES, OFICINAS Y ESTRUCTURAS"/>
    <s v=" 1. DE EDIFICACIONES, OFICINAS Y ESTRUCTURAS"/>
    <s v="0 . NORMAL"/>
    <n v="0"/>
    <n v="40000"/>
    <n v="400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55"/>
    <x v="55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4. SERVICIO DE MANTENIMIENTO, ACONDICIONAMIENTO Y  REPARACIONES"/>
    <s v=" 2. DE EDIFICACIONES, OFICINAS Y ESTRUCTURAS"/>
    <s v=" 1. DE EDIFICACIONES, OFICINAS Y ESTRUCTURAS"/>
    <s v="0 . NORMAL"/>
    <n v="0"/>
    <n v="20000"/>
    <n v="20000"/>
    <n v="17940"/>
    <n v="179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55"/>
    <x v="55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9. COMERCIALIZACION DE MEDICAMENTOS E INSUMOS"/>
    <s v="20. SALUD"/>
    <s v="044. SALUD INDIVIDUAL"/>
    <s v="0098. SERVICIOS DE DIAGNOSTICO Y TRATAMIENTO"/>
    <s v="00001"/>
    <s v="0001468. VENTA DE MEDICINAS"/>
    <s v="00006 - ATENCION"/>
    <n v="500000"/>
    <n v="250000"/>
    <n v="225000"/>
    <n v="225000"/>
    <x v="39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4. SERVICIO DE MANTENIMIENTO, ACONDICIONAMIENTO Y  REPARACIONES"/>
    <s v=" 2. DE EDIFICACIONES, OFICINAS Y ESTRUCTURAS"/>
    <s v=" 1. DE EDIFICACIONES, OFICINAS Y ESTRUCTURAS"/>
    <s v="0 . NORMAL"/>
    <n v="0"/>
    <n v="10000"/>
    <n v="10000"/>
    <n v="9200"/>
    <n v="9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55"/>
    <x v="55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4. SERVICIO DE MANTENIMIENTO, ACONDICIONAMIENTO Y  REPARACIONES"/>
    <s v=" 7. DE MAQUINARIAS Y EQUIPOS"/>
    <s v=" 1. DE MAQUINARIAS Y EQUIPOS"/>
    <s v="0 . NORMAL"/>
    <n v="0"/>
    <n v="1000"/>
    <n v="10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57"/>
    <x v="57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2768"/>
    <n v="1384"/>
    <n v="1400"/>
    <n v="1400"/>
    <x v="48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4. SERVICIO DE MANTENIMIENTO, ACONDICIONAMIENTO Y  REPARACIONES"/>
    <s v=" 7. DE MAQUINARIAS Y EQUIPOS"/>
    <s v=" 1. DE MAQUINARIAS Y EQUIPOS"/>
    <s v="0 . NORMAL"/>
    <n v="0"/>
    <n v="30000"/>
    <n v="3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57"/>
    <x v="57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4. SERVICIO DE MANTENIMIENTO, ACONDICIONAMIENTO Y  REPARACIONES"/>
    <s v="99. DE OTROS BIENES Y ACTIVOS"/>
    <s v="99. DE OTROS BIENES Y ACTIVOS"/>
    <s v="0 . NORMAL"/>
    <n v="0"/>
    <n v="1000"/>
    <n v="10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87"/>
    <x v="87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5. ALQUILERES DE MUEBLES E INMUEBLES"/>
    <s v=" 1. ALQUILERES DE MUEBLES E INMUEBLES"/>
    <s v=" 1. DE EDIFICIOS Y ESTRUCTURAS"/>
    <s v="0 . NORMAL"/>
    <n v="500"/>
    <n v="500"/>
    <n v="1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88"/>
    <x v="88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9. COMERCIALIZACION DE MEDICAMENTOS E INSUMOS"/>
    <s v="20. SALUD"/>
    <s v="044. SALUD INDIVIDUAL"/>
    <s v="0098. SERVICIOS DE DIAGNOSTICO Y TRATAMIENTO"/>
    <s v="00001"/>
    <s v="0001468. VENTA DE MEDICINAS"/>
    <s v="00006 - ATENCION"/>
    <n v="500000"/>
    <n v="250000"/>
    <n v="225000"/>
    <n v="225000"/>
    <x v="39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5. ALQUILERES DE MUEBLES E INMUEBLES"/>
    <s v=" 1. ALQUILERES DE MUEBLES E INMUEBLES"/>
    <s v=" 1. DE EDIFICIOS Y ESTRUCTURAS"/>
    <s v="0 . NORMAL"/>
    <n v="0"/>
    <n v="2500"/>
    <n v="2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88"/>
    <x v="88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5. ALQUILERES DE MUEBLES E INMUEBLES"/>
    <s v=" 1. ALQUILERES DE MUEBLES E INMUEBLES"/>
    <s v=" 2. DE VEHICULOS"/>
    <s v="0 . NORMAL"/>
    <n v="0"/>
    <n v="30000"/>
    <n v="3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89"/>
    <x v="89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5. ALQUILERES DE MUEBLES E INMUEBLES"/>
    <s v=" 1. ALQUILERES DE MUEBLES E INMUEBLES"/>
    <s v=" 3. DE MOBILIARIO Y SIMILARES"/>
    <s v="0 . NORMAL"/>
    <n v="0"/>
    <n v="3000"/>
    <n v="3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0"/>
    <x v="90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5. ALQUILERES DE MUEBLES E INMUEBLES"/>
    <s v=" 1. ALQUILERES DE MUEBLES E INMUEBLES"/>
    <s v=" 4. DE MAQUINARIAS Y EQUIPOS"/>
    <s v="0 . NORMAL"/>
    <n v="0"/>
    <n v="3000"/>
    <n v="3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1"/>
    <x v="91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6. SERVICIOS ADMINISTRATIVOS, FINANCIEROS Y DE SEGUROS"/>
    <s v=" 1. SERVICIOS ADMINISTRATIVOS"/>
    <s v=" 1. GASTOS LEGALES Y JUDICIALES"/>
    <s v="0 . NORMAL"/>
    <n v="200"/>
    <n v="200"/>
    <n v="400"/>
    <n v="200"/>
    <n v="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2"/>
    <x v="92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6. SERVICIOS ADMINISTRATIVOS, FINANCIEROS Y DE SEGUROS"/>
    <s v=" 1. SERVICIOS ADMINISTRATIVOS"/>
    <s v=" 2. GASTOS NOTARIALES"/>
    <s v="0 . NORMAL"/>
    <n v="5000"/>
    <n v="0"/>
    <n v="5000"/>
    <n v="2000"/>
    <n v="2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58"/>
    <x v="58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6. SERVICIOS ADMINISTRATIVOS, FINANCIEROS Y DE SEGUROS"/>
    <s v=" 2. SERVICIOS FINANCIEROS"/>
    <s v="99. OTROS SERVICIOS FINANCIEROS"/>
    <s v="0 . NORMAL"/>
    <n v="0"/>
    <n v="4000"/>
    <n v="4000"/>
    <n v="300"/>
    <n v="3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3"/>
    <x v="93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9. COMERCIALIZACION DE MEDICAMENTOS E INSUMOS"/>
    <s v="20. SALUD"/>
    <s v="044. SALUD INDIVIDUAL"/>
    <s v="0098. SERVICIOS DE DIAGNOSTICO Y TRATAMIENTO"/>
    <s v="00001"/>
    <s v="0001468. VENTA DE MEDICINAS"/>
    <s v="00006 - ATENCION"/>
    <n v="500000"/>
    <n v="250000"/>
    <n v="225000"/>
    <n v="225000"/>
    <x v="39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7. SERVICIOS PROFESIONALES Y TECNICOS"/>
    <s v=" 2. SERVICIOS DE CONSULTORIAS Y SIMILARES DESARROLLADOS POR PERSONAS NATURALES"/>
    <s v="99. OTROS SERVICIOS SIMILARES"/>
    <s v="0 . NORMAL"/>
    <n v="0"/>
    <n v="40000"/>
    <n v="40000"/>
    <n v="40000"/>
    <n v="4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x v="94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7. SERVICIOS PROFESIONALES Y TECNICOS"/>
    <s v=" 3. SERVICIO DE CAPACITACION Y PERFECCIONAMIENTO"/>
    <s v=" 1. REALIZADO POR PERSONAS JURIDICAS"/>
    <s v="0 . NORMAL"/>
    <n v="2000"/>
    <n v="13000"/>
    <n v="1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1"/>
    <x v="61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7. SERVICIOS PROFESIONALES Y TECNICOS"/>
    <s v=" 4. SERVICIOS DE PROCESAMIENTO DE DATOS E INFORMATICA"/>
    <s v="99. OTROS SERVICIOS DE INFORMATICA"/>
    <s v="0 . NORMAL"/>
    <n v="0"/>
    <n v="4500"/>
    <n v="4500"/>
    <n v="4360"/>
    <n v="43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5"/>
    <x v="95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7. SERVICIOS PROFESIONALES Y TECNICOS"/>
    <s v="11. OTROS SERVICIOS"/>
    <s v=" 1. EMBALAJE Y ALMACENAJE"/>
    <s v="0 . NORMAL"/>
    <n v="0"/>
    <n v="400"/>
    <n v="400"/>
    <n v="200"/>
    <n v="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6"/>
    <x v="96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7. SERVICIOS PROFESIONALES Y TECNICOS"/>
    <s v="11. OTROS SERVICIOS"/>
    <s v=" 2. TRANSPORTE Y TRASLADO DE CARGA, BIENES Y MATERIALES"/>
    <s v="0 . NORMAL"/>
    <n v="0"/>
    <n v="25000"/>
    <n v="25000"/>
    <n v="300"/>
    <n v="3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4"/>
    <x v="64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286. VIGILANCIA Y CONTROL EPIDEMIOLOGICO"/>
    <s v="20. SALUD"/>
    <s v="043. SALUD COLECTIVA"/>
    <s v="0093. REGULACION Y CONTROL SANITARIO"/>
    <s v="00001"/>
    <s v="0000281. ATENCION SANITARIA"/>
    <s v="00001 - ACCION"/>
    <n v="10"/>
    <n v="0"/>
    <n v="4"/>
    <n v="4"/>
    <x v="93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7. SERVICIOS PROFESIONALES Y TECNICOS"/>
    <s v="11. OTROS SERVICIOS"/>
    <s v=" 2. TRANSPORTE Y TRASLADO DE CARGA, BIENES Y MATERIALES"/>
    <s v="0 . NORMAL"/>
    <n v="25000"/>
    <n v="0"/>
    <n v="2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4"/>
    <x v="64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7. SERVICIOS PROFESIONALES Y TECNICOS"/>
    <s v="11. OTROS SERVICIOS"/>
    <s v=" 2. TRANSPORTE Y TRASLADO DE CARGA, BIENES Y MATERIALES"/>
    <s v="0 . NORMAL"/>
    <n v="0"/>
    <n v="30283"/>
    <n v="302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4"/>
    <x v="64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7. SERVICIOS PROFESIONALES Y TECNICOS"/>
    <s v="11. OTROS SERVICIOS"/>
    <s v=" 3. SERVICIOS RELACIONADOS CON FLORERIA, JARDINERIA Y OTRAS ACTIVIDADES SIMILARES"/>
    <s v="0 . NORMAL"/>
    <n v="0"/>
    <n v="400"/>
    <n v="400"/>
    <n v="400"/>
    <n v="4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7"/>
    <x v="97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7. SERVICIOS PROFESIONALES Y TECNICOS"/>
    <s v="11. OTROS SERVICIOS"/>
    <s v=" 5. SERVICIOS DE ALIMENTACION DE CONSUMO HUMANO"/>
    <s v="0 . NORMAL"/>
    <n v="0"/>
    <n v="3000"/>
    <n v="3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5"/>
    <x v="65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2768"/>
    <n v="1384"/>
    <n v="1400"/>
    <n v="1400"/>
    <x v="48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7. SERVICIOS PROFESIONALES Y TECNICOS"/>
    <s v="11. OTROS SERVICIOS"/>
    <s v=" 5. SERVICIOS DE ALIMENTACION DE CONSUMO HUMANO"/>
    <s v="0 . NORMAL"/>
    <n v="0"/>
    <n v="44000"/>
    <n v="44000"/>
    <n v="4500"/>
    <n v="4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5"/>
    <x v="65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7. SERVICIOS PROFESIONALES Y TECNICOS"/>
    <s v="11. OTROS SERVICIOS"/>
    <s v=" 6. SERVICIO DE IMPRESIONES, ENCUADERNACION Y EMPASTADO"/>
    <s v="0 . NORMAL"/>
    <n v="0"/>
    <n v="27000"/>
    <n v="27000"/>
    <n v="12384"/>
    <n v="123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6"/>
    <x v="66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00. ATENCION BASICA DE SALUD"/>
    <s v="20. SALUD"/>
    <s v="044. SALUD INDIVIDUAL"/>
    <s v="0096. ATENCION MEDICA BASICA"/>
    <s v="00001"/>
    <s v="0000251. ATENCION BASICA"/>
    <s v="00006 - ATENCION"/>
    <n v="200000"/>
    <n v="100000"/>
    <n v="78000"/>
    <n v="78000"/>
    <x v="33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7. SERVICIOS PROFESIONALES Y TECNICOS"/>
    <s v="11. OTROS SERVICIOS"/>
    <s v=" 6. SERVICIO DE IMPRESIONES, ENCUADERNACION Y EMPASTADO"/>
    <s v="0 . NORMAL"/>
    <n v="5000"/>
    <n v="0"/>
    <n v="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6"/>
    <x v="66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7. SERVICIOS PROFESIONALES Y TECNICOS"/>
    <s v="11. OTROS SERVICIOS"/>
    <s v="99. SERVICIOS DIVERSOS"/>
    <s v="0 . NORMAL"/>
    <n v="119018"/>
    <n v="0"/>
    <n v="119018"/>
    <n v="95700"/>
    <n v="957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7"/>
    <x v="67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00. ATENCION BASICA DE SALUD"/>
    <s v="20. SALUD"/>
    <s v="044. SALUD INDIVIDUAL"/>
    <s v="0096. ATENCION MEDICA BASICA"/>
    <s v="00001"/>
    <s v="0000251. ATENCION BASICA"/>
    <s v="00006 - ATENCION"/>
    <n v="200000"/>
    <n v="100000"/>
    <n v="78000"/>
    <n v="78000"/>
    <x v="33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7. SERVICIOS PROFESIONALES Y TECNICOS"/>
    <s v="11. OTROS SERVICIOS"/>
    <s v="99. SERVICIOS DIVERSOS"/>
    <s v="0 . NORMAL"/>
    <n v="413172"/>
    <n v="-199000"/>
    <n v="214172"/>
    <n v="11340"/>
    <n v="113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7"/>
    <x v="67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7. SERVICIOS PROFESIONALES Y TECNICOS"/>
    <s v="11. OTROS SERVICIOS"/>
    <s v="99. SERVICIOS DIVERSOS"/>
    <s v="0 . NORMAL"/>
    <n v="450000"/>
    <n v="0"/>
    <n v="45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7"/>
    <x v="67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NORMAL"/>
    <n v="230331"/>
    <n v="0"/>
    <n v="2303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8"/>
    <x v="68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00. ATENCION BASICA DE SALUD"/>
    <s v="20. SALUD"/>
    <s v="044. SALUD INDIVIDUAL"/>
    <s v="0096. ATENCION MEDICA BASICA"/>
    <s v="00001"/>
    <s v="0000251. ATENCION BASICA"/>
    <s v="00006 - ATENCION"/>
    <n v="200000"/>
    <n v="100000"/>
    <n v="78000"/>
    <n v="78000"/>
    <x v="33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NORMAL"/>
    <n v="37200"/>
    <n v="0"/>
    <n v="37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8"/>
    <x v="68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NORMAL"/>
    <n v="154440"/>
    <n v="0"/>
    <n v="1544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8"/>
    <x v="68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9. COMERCIALIZACION DE MEDICAMENTOS E INSUMOS"/>
    <s v="20. SALUD"/>
    <s v="044. SALUD INDIVIDUAL"/>
    <s v="0098. SERVICIOS DE DIAGNOSTICO Y TRATAMIENTO"/>
    <s v="00001"/>
    <s v="0001468. VENTA DE MEDICINAS"/>
    <s v="00006 - ATENCION"/>
    <n v="500000"/>
    <n v="250000"/>
    <n v="225000"/>
    <n v="225000"/>
    <x v="39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NORMAL"/>
    <n v="343526"/>
    <n v="0"/>
    <n v="343526"/>
    <n v="166365.12"/>
    <n v="166365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8"/>
    <x v="68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NORMAL"/>
    <n v="168600"/>
    <n v="0"/>
    <n v="168600"/>
    <n v="67809.7"/>
    <n v="6780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8"/>
    <x v="68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NORMAL"/>
    <n v="33840"/>
    <n v="0"/>
    <n v="338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9"/>
    <x v="69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00. ATENCION BASICA DE SALUD"/>
    <s v="20. SALUD"/>
    <s v="044. SALUD INDIVIDUAL"/>
    <s v="0096. ATENCION MEDICA BASICA"/>
    <s v="00001"/>
    <s v="0000251. ATENCION BASICA"/>
    <s v="00006 - ATENCION"/>
    <n v="200000"/>
    <n v="100000"/>
    <n v="78000"/>
    <n v="78000"/>
    <x v="33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NORMAL"/>
    <n v="2690"/>
    <n v="0"/>
    <n v="26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9"/>
    <x v="69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NORMAL"/>
    <n v="10015"/>
    <n v="0"/>
    <n v="100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9"/>
    <x v="69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9. COMERCIALIZACION DE MEDICAMENTOS E INSUMOS"/>
    <s v="20. SALUD"/>
    <s v="044. SALUD INDIVIDUAL"/>
    <s v="0098. SERVICIOS DE DIAGNOSTICO Y TRATAMIENTO"/>
    <s v="00001"/>
    <s v="0001468. VENTA DE MEDICINAS"/>
    <s v="00006 - ATENCION"/>
    <n v="500000"/>
    <n v="250000"/>
    <n v="225000"/>
    <n v="225000"/>
    <x v="39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NORMAL"/>
    <n v="29961"/>
    <n v="0"/>
    <n v="29961"/>
    <n v="14435"/>
    <n v="144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9"/>
    <x v="69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NORMAL"/>
    <n v="21595"/>
    <n v="0"/>
    <n v="21595"/>
    <n v="6031"/>
    <n v="60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9"/>
    <x v="69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NORMAL"/>
    <n v="2400"/>
    <n v="0"/>
    <n v="24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70"/>
    <x v="70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00. ATENCION BASICA DE SALUD"/>
    <s v="20. SALUD"/>
    <s v="044. SALUD INDIVIDUAL"/>
    <s v="0096. ATENCION MEDICA BASICA"/>
    <s v="00001"/>
    <s v="0000251. ATENCION BASICA"/>
    <s v="00006 - ATENCION"/>
    <n v="200000"/>
    <n v="100000"/>
    <n v="78000"/>
    <n v="78000"/>
    <x v="33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NORMAL"/>
    <n v="1200"/>
    <n v="0"/>
    <n v="1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70"/>
    <x v="70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NORMAL"/>
    <n v="2400"/>
    <n v="0"/>
    <n v="24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70"/>
    <x v="70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NORMAL"/>
    <n v="14400"/>
    <n v="0"/>
    <n v="144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70"/>
    <x v="70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6. ACCIONES DE CONTROL Y AUDITORIA"/>
    <s v="20. SALUD"/>
    <s v="006. GESTION"/>
    <s v="0012. CONTROL INTERNO"/>
    <s v="00001"/>
    <s v="0023404. ACCIONES DE CONTROL Y AUDITORIA"/>
    <s v="00001 - ACCION"/>
    <n v="54"/>
    <n v="27"/>
    <n v="13"/>
    <n v="13"/>
    <x v="4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9. LOCACIÓN DE SERVICIOS RELACIONADAS AL ROL DE LA ENTIDAD"/>
    <s v=" 1. LOCACIÓN DE SERVICIOS RELACIONADAS AL ROL DE LA ENTIDAD"/>
    <s v=" 1. LOCACIÓN DE SERVICIOS REALIZADOS POR PERSONAS NATURALES RELACIONADAS AL ROL DE LA ENTIDAD"/>
    <s v="0 . NORMA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71"/>
    <x v="71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1"/>
    <s v="09. RECURSOS DIRECTAMENTE RECAUDADOS"/>
    <s v="6. GASTOS DE CAPITAL"/>
    <s v="2. GASTOS PRESUPUESTARIOS"/>
    <x v="3"/>
    <s v=" 3. ADQUISICION DE VEHICULOS, MAQUINARIAS Y OTROS"/>
    <s v=" 2. ADQUISICION DE MAQUINARIAS, EQUIPO Y MOBILIARIO"/>
    <s v=" 1. PARA OFICINA"/>
    <s v=" 2. MOBILIARIO"/>
    <s v="0 . NORMAL"/>
    <n v="0"/>
    <n v="30000"/>
    <n v="30000"/>
    <n v="30000"/>
    <n v="3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8"/>
    <x v="98"/>
    <x v="2"/>
    <x v="3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708"/>
    <n v="854"/>
    <n v="156"/>
    <n v="156"/>
    <x v="2"/>
    <s v="05. AYACUCHO"/>
    <s v="01. HUAMANGA"/>
    <s v="01. AYACUCHO"/>
    <x v="1"/>
    <s v="09. RECURSOS DIRECTAMENTE RECAUDADOS"/>
    <s v="6. GASTOS DE CAPITAL"/>
    <s v="2. GASTOS PRESUPUESTARIOS"/>
    <x v="3"/>
    <s v=" 3. ADQUISICION DE VEHICULOS, MAQUINARIAS Y OTROS"/>
    <s v=" 2. ADQUISICION DE MAQUINARIAS, EQUIPO Y MOBILIARIO"/>
    <s v=" 3. ADQUISICION DE EQUIPOS INFORMATICOS Y DE COMUNICACIONES"/>
    <s v=" 3. EQUIPOS DE TELECOMUNICACIONES"/>
    <s v="0 . NORMAL"/>
    <n v="0"/>
    <n v="5280"/>
    <n v="52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73"/>
    <x v="73"/>
    <x v="1"/>
    <x v="3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1"/>
    <s v="09. RECURSOS DIRECTAMENTE RECAUDADOS"/>
    <s v="6. GASTOS DE CAPITAL"/>
    <s v="2. GASTOS PRESUPUESTARIOS"/>
    <x v="3"/>
    <s v=" 3. ADQUISICION DE VEHICULOS, MAQUINARIAS Y OTROS"/>
    <s v=" 2. ADQUISICION DE MAQUINARIAS, EQUIPO Y MOBILIARIO"/>
    <s v=" 4. ADQUISICION DE MOBILIARIO, EQUIPOS Y APARATOS MEDICOS"/>
    <s v=" 1. MOBILIARIO"/>
    <s v="0 . NORMAL"/>
    <n v="0"/>
    <n v="15000"/>
    <n v="1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9"/>
    <x v="99"/>
    <x v="2"/>
    <x v="3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1"/>
    <s v="09. RECURSOS DIRECTAMENTE RECAUDADOS"/>
    <s v="6. GASTOS DE CAPITAL"/>
    <s v="2. GASTOS PRESUPUESTARIOS"/>
    <x v="3"/>
    <s v=" 3. ADQUISICION DE VEHICULOS, MAQUINARIAS Y OTROS"/>
    <s v=" 2. ADQUISICION DE MAQUINARIAS, EQUIPO Y MOBILIARIO"/>
    <s v=" 4. ADQUISICION DE MOBILIARIO, EQUIPOS Y APARATOS MEDICOS"/>
    <s v=" 2. EQUIPOS"/>
    <s v="0 . NORMAL"/>
    <n v="0"/>
    <n v="366920"/>
    <n v="3669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100"/>
    <x v="100"/>
    <x v="2"/>
    <x v="3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1"/>
    <s v="09. RECURSOS DIRECTAMENTE RECAUDADOS"/>
    <s v="6. GASTOS DE CAPITAL"/>
    <s v="2. GASTOS PRESUPUESTARIOS"/>
    <x v="3"/>
    <s v=" 3. ADQUISICION DE VEHICULOS, MAQUINARIAS Y OTROS"/>
    <s v=" 2. ADQUISICION DE MAQUINARIAS, EQUIPO Y MOBILIARIO"/>
    <s v=" 9. ADQUISICION DE MAQUINARIA Y EQUIPO DIVERSOS"/>
    <s v=" 1. AIRE ACONDICIONADO Y REFRIGERACION"/>
    <s v="0 . NORMAL"/>
    <n v="0"/>
    <n v="32800"/>
    <n v="32800"/>
    <n v="26500"/>
    <n v="26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101"/>
    <x v="101"/>
    <x v="2"/>
    <x v="3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2768"/>
    <n v="1384"/>
    <n v="1400"/>
    <n v="1400"/>
    <x v="48"/>
    <s v="05. AYACUCHO"/>
    <s v="01. HUAMANGA"/>
    <s v="01. AYACUCHO"/>
    <x v="1"/>
    <s v="09. RECURSOS DIRECTAMENTE RECAUDADOS"/>
    <s v="6. GASTOS DE CAPITAL"/>
    <s v="2. GASTOS PRESUPUESTARIOS"/>
    <x v="3"/>
    <s v=" 3. ADQUISICION DE VEHICULOS, MAQUINARIAS Y OTROS"/>
    <s v=" 2. ADQUISICION DE MAQUINARIAS, EQUIPO Y MOBILIARIO"/>
    <s v=" 9. ADQUISICION DE MAQUINARIA Y EQUIPO DIVERSOS"/>
    <s v=" 2. ASEO,  LIMPIEZA Y COCINA"/>
    <s v="0 . NORMAL"/>
    <n v="0"/>
    <n v="20000"/>
    <n v="20000"/>
    <n v="20000"/>
    <n v="2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102"/>
    <x v="102"/>
    <x v="2"/>
    <x v="3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2768"/>
    <n v="1384"/>
    <n v="1400"/>
    <n v="1400"/>
    <x v="48"/>
    <s v="05. AYACUCHO"/>
    <s v="01. HUAMANGA"/>
    <s v="01. AYACUCHO"/>
    <x v="1"/>
    <s v="09. RECURSOS DIRECTAMENTE RECAUDADOS"/>
    <s v="6. GASTOS DE CAPITAL"/>
    <s v="2. GASTOS PRESUPUESTARIOS"/>
    <x v="3"/>
    <s v=" 3. ADQUISICION DE VEHICULOS, MAQUINARIAS Y OTROS"/>
    <s v=" 2. ADQUISICION DE MAQUINARIAS, EQUIPO Y MOBILIARIO"/>
    <s v=" 9. ADQUISICION DE MAQUINARIA Y EQUIPO DIVERSOS"/>
    <s v=" 5. EQUIPOS E INSTRUMENTOS DE MEDICION"/>
    <s v="0 . NORMAL"/>
    <n v="0"/>
    <n v="10000"/>
    <n v="10000"/>
    <n v="10000"/>
    <n v="1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103"/>
    <x v="103"/>
    <x v="2"/>
    <x v="3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2491457."/>
    <s v="6.ACCION DE INVERSION"/>
    <s v="6000050. PREVENCIÓN, CONTROL, DIAGNÓSTICO Y TRATAMIENTO DE CORONAVIRUS"/>
    <s v="20. SALUD"/>
    <s v="043. SALUD COLECTIVA"/>
    <s v="0093. REGULACION Y CONTROL SANITARIO"/>
    <s v="00001"/>
    <s v="0290090. DIAGNOSTICO Y TRATAMIENTO DE CORONAVIRUS"/>
    <s v="00083 - PACIENTE ATENDIDO"/>
    <n v="1"/>
    <n v="1"/>
    <n v="1"/>
    <n v="1"/>
    <x v="133"/>
    <s v="05. AYACUCHO"/>
    <s v="01. HUAMANGA"/>
    <s v="01. AYACUCHO"/>
    <x v="1"/>
    <s v="09. RECURSOS DIRECTAMENTE RECAUDADOS"/>
    <s v="6. GASTOS DE CAPITAL"/>
    <s v="2. GASTOS PRESUPUESTARIOS"/>
    <x v="3"/>
    <s v=" 3. ADQUISICION DE VEHICULOS, MAQUINARIAS Y OTROS"/>
    <s v=" 2. ADQUISICION DE MAQUINARIAS, EQUIPO Y MOBILIARIO"/>
    <s v=" 9. ADQUISICION DE MAQUINARIA Y EQUIPO DIVERSOS"/>
    <s v="99. MAQUINARIAS, EQUIPOS Y MOBILIARIOS DE OTRAS INSTALACIONES"/>
    <s v="0 . NORMAL"/>
    <n v="0"/>
    <n v="1665000"/>
    <n v="1665000"/>
    <n v="1665000"/>
    <n v="166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104"/>
    <x v="104"/>
    <x v="2"/>
    <x v="3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1. ALIMENTOS Y BEBIDAS"/>
    <s v=" 1. ALIMENTOS Y BEBIDAS"/>
    <s v=" 1. ALIMENTOS Y BEBIDAS PARA CONSUMO HUMANO"/>
    <s v="7 . SUB CUENTA - RECURSOS DIRECTAMENTE RECAUDADOS"/>
    <n v="0"/>
    <n v="0"/>
    <n v="0"/>
    <n v="0"/>
    <n v="0"/>
    <n v="0"/>
    <n v="0"/>
    <n v="0"/>
    <n v="3000"/>
    <n v="0"/>
    <n v="0"/>
    <n v="0"/>
    <n v="0"/>
    <n v="0"/>
    <n v="0"/>
    <n v="0"/>
    <n v="0"/>
    <n v="0"/>
    <n v="0"/>
    <n v="0"/>
    <n v="3000"/>
    <n v="0"/>
    <n v="0"/>
    <n v="0"/>
    <n v="0"/>
    <n v="0"/>
    <n v="0"/>
    <n v="0"/>
    <n v="0"/>
    <n v="0"/>
    <n v="0"/>
    <n v="0"/>
    <n v="3000"/>
    <n v="0"/>
    <n v="0"/>
    <n v="0"/>
    <n v="0"/>
    <n v="0"/>
    <n v="0"/>
    <n v="0"/>
    <n v="0"/>
    <n v="0"/>
    <n v="0"/>
    <n v="0"/>
    <n v="3000"/>
    <n v="0"/>
    <n v="0"/>
    <n v="0"/>
    <n v="0"/>
    <n v="0"/>
    <n v="0"/>
    <n v="0"/>
    <n v="0"/>
    <x v="1"/>
    <x v="21"/>
    <x v="21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30000"/>
    <n v="75000"/>
    <n v="0"/>
    <n v="0"/>
    <x v="36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1. ALIMENTOS Y BEBIDAS"/>
    <s v=" 1. ALIMENTOS Y BEBIDAS"/>
    <s v=" 1. ALIMENTOS Y BEBIDAS PARA CONSUMO HUMANO"/>
    <s v="7 . SUB CUENTA - RECURSOS DIRECTAMENTE RECAUDADOS"/>
    <n v="0"/>
    <n v="0"/>
    <n v="0"/>
    <n v="0"/>
    <n v="0"/>
    <n v="0"/>
    <n v="0"/>
    <n v="0"/>
    <n v="1175479"/>
    <n v="0"/>
    <n v="0"/>
    <n v="0"/>
    <n v="0"/>
    <n v="0"/>
    <n v="0"/>
    <n v="0"/>
    <n v="0"/>
    <n v="0"/>
    <n v="0"/>
    <n v="0"/>
    <n v="1175479"/>
    <n v="0"/>
    <n v="0"/>
    <n v="0"/>
    <n v="0"/>
    <n v="0"/>
    <n v="0"/>
    <n v="0"/>
    <n v="0"/>
    <n v="0"/>
    <n v="0"/>
    <n v="0"/>
    <n v="0"/>
    <n v="1175479"/>
    <n v="0"/>
    <n v="0"/>
    <n v="0"/>
    <n v="0"/>
    <n v="0"/>
    <n v="0"/>
    <n v="0"/>
    <n v="0"/>
    <n v="0"/>
    <n v="0"/>
    <n v="0"/>
    <n v="1175479"/>
    <n v="0"/>
    <n v="0"/>
    <n v="0"/>
    <n v="0"/>
    <n v="0"/>
    <n v="0"/>
    <n v="0"/>
    <x v="1"/>
    <x v="21"/>
    <x v="21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1"/>
    <n v="1384"/>
    <n v="0"/>
    <n v="0"/>
    <x v="48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1. ALIMENTOS Y BEBIDAS"/>
    <s v=" 1. ALIMENTOS Y BEBIDAS"/>
    <s v=" 1. ALIMENTOS Y BEBIDAS PARA CONSUMO HUMANO"/>
    <s v="7 . SUB CUENTA - RECURSOS DIRECTAMENTE RECAUDADOS"/>
    <n v="0"/>
    <n v="0"/>
    <n v="0"/>
    <n v="0"/>
    <n v="0"/>
    <n v="0"/>
    <n v="0"/>
    <n v="0"/>
    <n v="0"/>
    <n v="12620.79"/>
    <n v="0"/>
    <n v="2378.1"/>
    <n v="0"/>
    <n v="0"/>
    <n v="0"/>
    <n v="0"/>
    <n v="0"/>
    <n v="0"/>
    <n v="0"/>
    <n v="0"/>
    <n v="0"/>
    <n v="0"/>
    <n v="12620.79"/>
    <n v="2378.1"/>
    <n v="0"/>
    <n v="0"/>
    <n v="0"/>
    <n v="0"/>
    <n v="0"/>
    <n v="0"/>
    <n v="0"/>
    <n v="0"/>
    <n v="0"/>
    <n v="0"/>
    <n v="5979.75"/>
    <n v="9019.14"/>
    <n v="0"/>
    <n v="0"/>
    <n v="0"/>
    <n v="0"/>
    <n v="0"/>
    <n v="0"/>
    <n v="0"/>
    <n v="0"/>
    <n v="0"/>
    <n v="0"/>
    <n v="5979.75"/>
    <n v="8355.0400000000009"/>
    <n v="0"/>
    <n v="0"/>
    <n v="0"/>
    <n v="0"/>
    <n v="0"/>
    <x v="1"/>
    <x v="21"/>
    <x v="21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1"/>
    <n v="1384"/>
    <n v="0"/>
    <n v="0"/>
    <x v="48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2. VESTUARIOS Y TEXTILES"/>
    <s v=" 1. VESTUARIO, ZAPATERIA Y ACCESORIOS, TALABARTERIA Y MATERIALES TEXTILES"/>
    <s v=" 1. VESTUARIO, ACCESORIOS Y PRENDAS DIVERSAS"/>
    <s v="7 . SUB CUENTA - RECURSOS DIRECTAMENTE RECAUDADOS"/>
    <n v="0"/>
    <n v="0"/>
    <n v="0"/>
    <n v="0"/>
    <n v="0"/>
    <n v="0"/>
    <n v="0"/>
    <n v="0"/>
    <n v="0"/>
    <n v="1800"/>
    <n v="0"/>
    <n v="0"/>
    <n v="0"/>
    <n v="0"/>
    <n v="0"/>
    <n v="0"/>
    <n v="0"/>
    <n v="0"/>
    <n v="0"/>
    <n v="0"/>
    <n v="0"/>
    <n v="0"/>
    <n v="1800"/>
    <n v="0"/>
    <n v="0"/>
    <n v="0"/>
    <n v="0"/>
    <n v="0"/>
    <n v="0"/>
    <n v="0"/>
    <n v="0"/>
    <n v="0"/>
    <n v="0"/>
    <n v="0"/>
    <n v="1800"/>
    <n v="0"/>
    <n v="0"/>
    <n v="0"/>
    <n v="0"/>
    <n v="0"/>
    <n v="0"/>
    <n v="0"/>
    <n v="0"/>
    <n v="0"/>
    <n v="0"/>
    <n v="0"/>
    <n v="1800"/>
    <n v="0"/>
    <n v="0"/>
    <n v="0"/>
    <n v="0"/>
    <n v="0"/>
    <n v="0"/>
    <x v="1"/>
    <x v="22"/>
    <x v="22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1"/>
    <n v="1384"/>
    <n v="0"/>
    <n v="0"/>
    <x v="48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2. VESTUARIOS Y TEXTILES"/>
    <s v=" 1. VESTUARIO, ZAPATERIA Y ACCESORIOS, TALABARTERIA Y MATERIALES TEXTILES"/>
    <s v=" 3. CALZADO"/>
    <s v="7 . SUB CUENTA - RECURSOS DIRECTAMENTE RECAUDADOS"/>
    <n v="0"/>
    <n v="0"/>
    <n v="0"/>
    <n v="0"/>
    <n v="0"/>
    <n v="0"/>
    <n v="0"/>
    <n v="0"/>
    <n v="0"/>
    <n v="675"/>
    <n v="0"/>
    <n v="0"/>
    <n v="0"/>
    <n v="0"/>
    <n v="0"/>
    <n v="0"/>
    <n v="0"/>
    <n v="0"/>
    <n v="0"/>
    <n v="0"/>
    <n v="0"/>
    <n v="0"/>
    <n v="675"/>
    <n v="0"/>
    <n v="0"/>
    <n v="0"/>
    <n v="0"/>
    <n v="0"/>
    <n v="0"/>
    <n v="0"/>
    <n v="0"/>
    <n v="0"/>
    <n v="0"/>
    <n v="0"/>
    <n v="675"/>
    <n v="0"/>
    <n v="0"/>
    <n v="0"/>
    <n v="0"/>
    <n v="0"/>
    <n v="0"/>
    <n v="0"/>
    <n v="0"/>
    <n v="0"/>
    <n v="0"/>
    <n v="0"/>
    <n v="675"/>
    <n v="0"/>
    <n v="0"/>
    <n v="0"/>
    <n v="0"/>
    <n v="0"/>
    <n v="0"/>
    <x v="1"/>
    <x v="24"/>
    <x v="24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3. COMBUSTIBLES, CARBURANTES, LUBRICANTES Y AFINES"/>
    <s v=" 1. COMBUSTIBLES, CARBURANTES, LUBRICANTES Y AFINES"/>
    <s v=" 1. COMBUSTIBLES Y CARBURANTES"/>
    <s v="7 . SUB CUENTA - RECURSOS DIRECTAMENTE RECAUDADOS"/>
    <n v="0"/>
    <n v="0"/>
    <n v="0"/>
    <n v="0"/>
    <n v="0"/>
    <n v="0"/>
    <n v="0"/>
    <n v="0"/>
    <n v="500"/>
    <n v="0"/>
    <n v="0"/>
    <n v="4727.8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x v="1"/>
    <x v="25"/>
    <x v="25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3. COMBUSTIBLES, CARBURANTES, LUBRICANTES Y AFINES"/>
    <s v=" 1. COMBUSTIBLES, CARBURANTES, LUBRICANTES Y AFINES"/>
    <s v=" 2. GASES"/>
    <s v="7 . SUB CUENTA - RECURSOS DIRECTAMENTE RECAUDADOS"/>
    <n v="0"/>
    <n v="0"/>
    <n v="0"/>
    <n v="0"/>
    <n v="0"/>
    <n v="0"/>
    <n v="0"/>
    <n v="0"/>
    <n v="200"/>
    <n v="0"/>
    <n v="0"/>
    <n v="0"/>
    <n v="0"/>
    <n v="0"/>
    <n v="0"/>
    <n v="0"/>
    <n v="0"/>
    <n v="0"/>
    <n v="0"/>
    <n v="0"/>
    <n v="200"/>
    <n v="0"/>
    <n v="0"/>
    <n v="0"/>
    <n v="0"/>
    <n v="0"/>
    <n v="0"/>
    <n v="0"/>
    <n v="0"/>
    <n v="0"/>
    <n v="0"/>
    <n v="0"/>
    <n v="200"/>
    <n v="0"/>
    <n v="0"/>
    <n v="0"/>
    <n v="0"/>
    <n v="0"/>
    <n v="0"/>
    <n v="0"/>
    <n v="0"/>
    <n v="0"/>
    <n v="0"/>
    <n v="0"/>
    <n v="200"/>
    <n v="0"/>
    <n v="0"/>
    <n v="0"/>
    <n v="0"/>
    <n v="0"/>
    <n v="0"/>
    <n v="0"/>
    <n v="0"/>
    <x v="1"/>
    <x v="26"/>
    <x v="26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3. COMBUSTIBLES, CARBURANTES, LUBRICANTES Y AFINES"/>
    <s v=" 1. COMBUSTIBLES, CARBURANTES, LUBRICANTES Y AFINES"/>
    <s v=" 3. LUBRICANTES, GRASAS Y AFINES"/>
    <s v="7 . SUB CUENTA - RECURSOS DIRECTAMENTE RECAUDADOS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x v="1"/>
    <x v="75"/>
    <x v="75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5. MATERIALES Y  UTILES"/>
    <s v=" 1. DE OFICINA"/>
    <s v=" 1. REPUESTOS Y ACCESORIOS"/>
    <s v="7 . SUB CUENTA - RECURSOS DIRECTAMENTE RECAUDADOS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x v="1"/>
    <x v="76"/>
    <x v="76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5. MATERIALES Y  UTILES"/>
    <s v=" 1. DE OFICINA"/>
    <s v=" 2. PAPELERIA EN GENERAL, UTILES Y MATERIALES DE OFICINA"/>
    <s v="7 . SUB CUENTA - RECURSOS DIRECTAMENTE RECAUDADOS"/>
    <n v="0"/>
    <n v="0"/>
    <n v="0"/>
    <n v="0"/>
    <n v="0"/>
    <n v="0"/>
    <n v="0"/>
    <n v="0"/>
    <n v="2000"/>
    <n v="848"/>
    <n v="1567"/>
    <n v="977"/>
    <n v="0"/>
    <n v="0"/>
    <n v="0"/>
    <n v="0"/>
    <n v="0"/>
    <n v="0"/>
    <n v="0"/>
    <n v="0"/>
    <n v="2000"/>
    <n v="848"/>
    <n v="1567"/>
    <n v="977"/>
    <n v="0"/>
    <n v="0"/>
    <n v="0"/>
    <n v="0"/>
    <n v="0"/>
    <n v="0"/>
    <n v="0"/>
    <n v="0"/>
    <n v="2000"/>
    <n v="848"/>
    <n v="1567"/>
    <n v="977"/>
    <n v="0"/>
    <n v="0"/>
    <n v="0"/>
    <n v="0"/>
    <n v="0"/>
    <n v="0"/>
    <n v="0"/>
    <n v="0"/>
    <n v="2000"/>
    <n v="848"/>
    <n v="1567"/>
    <n v="977"/>
    <n v="0"/>
    <n v="0"/>
    <n v="0"/>
    <n v="0"/>
    <n v="0"/>
    <x v="1"/>
    <x v="27"/>
    <x v="27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1"/>
    <n v="1384"/>
    <n v="0"/>
    <n v="0"/>
    <x v="48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5. MATERIALES Y  UTILES"/>
    <s v=" 1. DE OFICINA"/>
    <s v=" 2. PAPELERIA EN GENERAL, UTILES Y MATERIALES DE OFICINA"/>
    <s v="7 . SUB CUENTA - RECURSOS DIRECTAMENTE RECAUDADOS"/>
    <n v="0"/>
    <n v="0"/>
    <n v="0"/>
    <n v="0"/>
    <n v="0"/>
    <n v="0"/>
    <n v="0"/>
    <n v="0"/>
    <n v="9007.9"/>
    <n v="7374.04"/>
    <n v="4564.3999999999996"/>
    <n v="0"/>
    <n v="0"/>
    <n v="0"/>
    <n v="0"/>
    <n v="0"/>
    <n v="0"/>
    <n v="0"/>
    <n v="0"/>
    <n v="0"/>
    <n v="0"/>
    <n v="14737.3"/>
    <n v="4909.04"/>
    <n v="1300"/>
    <n v="0"/>
    <n v="0"/>
    <n v="0"/>
    <n v="0"/>
    <n v="0"/>
    <n v="0"/>
    <n v="0"/>
    <n v="0"/>
    <n v="0"/>
    <n v="5729.4"/>
    <n v="13916.94"/>
    <n v="1300"/>
    <n v="0"/>
    <n v="0"/>
    <n v="0"/>
    <n v="0"/>
    <n v="0"/>
    <n v="0"/>
    <n v="0"/>
    <n v="0"/>
    <n v="0"/>
    <n v="5729.4"/>
    <n v="13916.94"/>
    <n v="1300"/>
    <n v="0"/>
    <n v="0"/>
    <n v="0"/>
    <n v="0"/>
    <n v="0"/>
    <x v="1"/>
    <x v="27"/>
    <x v="27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1"/>
    <n v="1384"/>
    <n v="0"/>
    <n v="0"/>
    <x v="48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5. MATERIALES Y  UTILES"/>
    <s v=" 3. ASEO, LIMPIEZA Y COCINA"/>
    <s v=" 2. DE COCINA, COMEDOR Y CAFETERIA"/>
    <s v="7 . SUB CUENTA - RECURSOS DIRECTAMENTE RECAUDADOS"/>
    <n v="0"/>
    <n v="0"/>
    <n v="0"/>
    <n v="0"/>
    <n v="0"/>
    <n v="0"/>
    <n v="0"/>
    <n v="0"/>
    <n v="0"/>
    <n v="3974"/>
    <n v="0"/>
    <n v="0"/>
    <n v="0"/>
    <n v="0"/>
    <n v="0"/>
    <n v="0"/>
    <n v="0"/>
    <n v="0"/>
    <n v="0"/>
    <n v="0"/>
    <n v="0"/>
    <n v="750"/>
    <n v="3224"/>
    <n v="0"/>
    <n v="0"/>
    <n v="0"/>
    <n v="0"/>
    <n v="0"/>
    <n v="0"/>
    <n v="0"/>
    <n v="0"/>
    <n v="0"/>
    <n v="0"/>
    <n v="750"/>
    <n v="0"/>
    <n v="0"/>
    <n v="0"/>
    <n v="0"/>
    <n v="0"/>
    <n v="0"/>
    <n v="0"/>
    <n v="0"/>
    <n v="0"/>
    <n v="0"/>
    <n v="0"/>
    <n v="750"/>
    <n v="0"/>
    <n v="0"/>
    <n v="0"/>
    <n v="0"/>
    <n v="0"/>
    <n v="0"/>
    <n v="0"/>
    <x v="1"/>
    <x v="77"/>
    <x v="77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5. MATERIALES Y  UTILES"/>
    <s v=" 4. ELECTRICIDAD, ILUMINACION Y ELECTRONICA"/>
    <s v=" 1. ELECTRICIDAD, ILUMINACION Y ELECTRONICA"/>
    <s v="7 . SUB CUENTA - RECURSOS DIRECTAMENTE RECAUDADOS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x v="1"/>
    <x v="29"/>
    <x v="29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1"/>
    <n v="1384"/>
    <n v="0"/>
    <n v="0"/>
    <x v="48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5. MATERIALES Y  UTILES"/>
    <s v=" 4. ELECTRICIDAD, ILUMINACION Y ELECTRONICA"/>
    <s v=" 1. ELECTRICIDAD, ILUMINACION Y ELECTRONICA"/>
    <s v="7 . SUB CUENTA - RECURSOS DIRECTAMENTE RECAUDADOS"/>
    <n v="0"/>
    <n v="0"/>
    <n v="0"/>
    <n v="0"/>
    <n v="0"/>
    <n v="0"/>
    <n v="0"/>
    <n v="0"/>
    <n v="2120.2199999999998"/>
    <n v="0"/>
    <n v="1430"/>
    <n v="0"/>
    <n v="0"/>
    <n v="0"/>
    <n v="0"/>
    <n v="0"/>
    <n v="0"/>
    <n v="0"/>
    <n v="0"/>
    <n v="0"/>
    <n v="0"/>
    <n v="2120.2199999999998"/>
    <n v="0"/>
    <n v="1430"/>
    <n v="0"/>
    <n v="0"/>
    <n v="0"/>
    <n v="0"/>
    <n v="0"/>
    <n v="0"/>
    <n v="0"/>
    <n v="0"/>
    <n v="0"/>
    <n v="2120.2199999999998"/>
    <n v="0"/>
    <n v="1430"/>
    <n v="0"/>
    <n v="0"/>
    <n v="0"/>
    <n v="0"/>
    <n v="0"/>
    <n v="0"/>
    <n v="0"/>
    <n v="0"/>
    <n v="0"/>
    <n v="2120.2199999999998"/>
    <n v="0"/>
    <n v="1430"/>
    <n v="0"/>
    <n v="0"/>
    <n v="0"/>
    <n v="0"/>
    <n v="0"/>
    <x v="1"/>
    <x v="29"/>
    <x v="29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6. REPUESTOS Y ACCESORIOS"/>
    <s v=" 1. REPUESTOS Y ACCESORIOS"/>
    <s v=" 1. DE VEHICULOS"/>
    <s v="7 . SUB CUENTA - RECURSOS DIRECTAMENTE RECAUDADOS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x v="1"/>
    <x v="31"/>
    <x v="31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6. REPUESTOS Y ACCESORIOS"/>
    <s v=" 1. REPUESTOS Y ACCESORIOS"/>
    <s v=" 3. DE CONSTRUCCION Y MAQUINAS"/>
    <s v="7 . SUB CUENTA - RECURSOS DIRECTAMENTE RECAUDADOS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x v="1"/>
    <x v="79"/>
    <x v="79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1"/>
    <n v="1384"/>
    <n v="0"/>
    <n v="0"/>
    <x v="48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6. REPUESTOS Y ACCESORIOS"/>
    <s v=" 1. REPUESTOS Y ACCESORIOS"/>
    <s v=" 4. DE SEGURIDAD"/>
    <s v="7 . SUB CUENTA - RECURSOS DIRECTAMENTE RECAUDADOS"/>
    <n v="0"/>
    <n v="0"/>
    <n v="0"/>
    <n v="0"/>
    <n v="0"/>
    <n v="0"/>
    <n v="0"/>
    <n v="0"/>
    <n v="0"/>
    <n v="625"/>
    <n v="0"/>
    <n v="0"/>
    <n v="0"/>
    <n v="0"/>
    <n v="0"/>
    <n v="0"/>
    <n v="0"/>
    <n v="0"/>
    <n v="0"/>
    <n v="0"/>
    <n v="0"/>
    <n v="0"/>
    <n v="625"/>
    <n v="0"/>
    <n v="0"/>
    <n v="0"/>
    <n v="0"/>
    <n v="0"/>
    <n v="0"/>
    <n v="0"/>
    <n v="0"/>
    <n v="0"/>
    <n v="0"/>
    <n v="0"/>
    <n v="625"/>
    <n v="0"/>
    <n v="0"/>
    <n v="0"/>
    <n v="0"/>
    <n v="0"/>
    <n v="0"/>
    <n v="0"/>
    <n v="0"/>
    <n v="0"/>
    <n v="0"/>
    <n v="0"/>
    <n v="625"/>
    <n v="0"/>
    <n v="0"/>
    <n v="0"/>
    <n v="0"/>
    <n v="0"/>
    <n v="0"/>
    <x v="1"/>
    <x v="32"/>
    <x v="32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1"/>
    <n v="1384"/>
    <n v="0"/>
    <n v="0"/>
    <x v="48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6. REPUESTOS Y ACCESORIOS"/>
    <s v=" 1. REPUESTOS Y ACCESORIOS"/>
    <s v="99. OTROS ACCESORIOS Y REPUESTOS"/>
    <s v="7 . SUB CUENTA - RECURSOS DIRECTAMENTE RECAUDADOS"/>
    <n v="0"/>
    <n v="0"/>
    <n v="0"/>
    <n v="0"/>
    <n v="0"/>
    <n v="0"/>
    <n v="0"/>
    <n v="0"/>
    <n v="0"/>
    <n v="72"/>
    <n v="0"/>
    <n v="0"/>
    <n v="0"/>
    <n v="0"/>
    <n v="0"/>
    <n v="0"/>
    <n v="0"/>
    <n v="0"/>
    <n v="0"/>
    <n v="0"/>
    <n v="0"/>
    <n v="72"/>
    <n v="0"/>
    <n v="0"/>
    <n v="0"/>
    <n v="0"/>
    <n v="0"/>
    <n v="0"/>
    <n v="0"/>
    <n v="0"/>
    <n v="0"/>
    <n v="0"/>
    <n v="0"/>
    <n v="72"/>
    <n v="0"/>
    <n v="0"/>
    <n v="0"/>
    <n v="0"/>
    <n v="0"/>
    <n v="0"/>
    <n v="0"/>
    <n v="0"/>
    <n v="0"/>
    <n v="0"/>
    <n v="0"/>
    <n v="72"/>
    <n v="0"/>
    <n v="0"/>
    <n v="0"/>
    <n v="0"/>
    <n v="0"/>
    <n v="0"/>
    <n v="0"/>
    <x v="1"/>
    <x v="33"/>
    <x v="33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7. ENSERES"/>
    <s v=" 1. ENSERES"/>
    <s v=" 1. ENSERES"/>
    <s v="7 . SUB CUENTA - RECURSOS DIRECTAMENTE RECAUDADOS"/>
    <n v="0"/>
    <n v="0"/>
    <n v="0"/>
    <n v="0"/>
    <n v="0"/>
    <n v="0"/>
    <n v="0"/>
    <n v="0"/>
    <n v="700"/>
    <n v="0"/>
    <n v="0"/>
    <n v="0"/>
    <n v="0"/>
    <n v="0"/>
    <n v="0"/>
    <n v="0"/>
    <n v="0"/>
    <n v="0"/>
    <n v="0"/>
    <n v="0"/>
    <n v="700"/>
    <n v="0"/>
    <n v="0"/>
    <n v="0"/>
    <n v="0"/>
    <n v="0"/>
    <n v="0"/>
    <n v="0"/>
    <n v="0"/>
    <n v="0"/>
    <n v="0"/>
    <n v="0"/>
    <n v="700"/>
    <n v="0"/>
    <n v="0"/>
    <n v="0"/>
    <n v="0"/>
    <n v="0"/>
    <n v="0"/>
    <n v="0"/>
    <n v="0"/>
    <n v="0"/>
    <n v="0"/>
    <n v="0"/>
    <n v="700"/>
    <n v="0"/>
    <n v="0"/>
    <n v="0"/>
    <n v="0"/>
    <n v="0"/>
    <n v="0"/>
    <n v="0"/>
    <n v="0"/>
    <x v="1"/>
    <x v="34"/>
    <x v="34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8. SUMINISTROS MEDICOS"/>
    <s v=" 1. PRODUCTOS FARMACEUTICOS"/>
    <s v=" 2. MEDICAMENTOS"/>
    <s v="7 . SUB CUENTA - RECURSOS DIRECTAMENTE RECAUDADOS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x v="1"/>
    <x v="35"/>
    <x v="35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9. COMERCIALIZACION DE MEDICAMENTOS E INSUMOS"/>
    <s v="20. SALUD"/>
    <s v="044. SALUD INDIVIDUAL"/>
    <s v="0098. SERVICIOS DE DIAGNOSTICO Y TRATAMIENTO"/>
    <s v="00001"/>
    <s v="0001468. VENTA DE MEDICINAS"/>
    <s v="00006 - ATENCION"/>
    <n v="500000"/>
    <n v="250000"/>
    <n v="0"/>
    <n v="0"/>
    <x v="39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8. SUMINISTROS MEDICOS"/>
    <s v=" 1. PRODUCTOS FARMACEUTICOS"/>
    <s v=" 2. MEDICAMENTOS"/>
    <s v="7 . SUB CUENTA - RECURSOS DIRECTAMENTE RECAUDADOS"/>
    <n v="0"/>
    <n v="0"/>
    <n v="0"/>
    <n v="0"/>
    <n v="0"/>
    <n v="0"/>
    <n v="0"/>
    <n v="0"/>
    <n v="43873.2"/>
    <n v="12000"/>
    <n v="44192.2"/>
    <n v="131340"/>
    <n v="0"/>
    <n v="0"/>
    <n v="0"/>
    <n v="0"/>
    <n v="0"/>
    <n v="0"/>
    <n v="0"/>
    <n v="0"/>
    <n v="40363.199999999997"/>
    <n v="6360"/>
    <n v="44276"/>
    <n v="2406.1999999999998"/>
    <n v="0"/>
    <n v="0"/>
    <n v="0"/>
    <n v="0"/>
    <n v="0"/>
    <n v="0"/>
    <n v="0"/>
    <n v="0"/>
    <n v="0"/>
    <n v="46723.199999999997"/>
    <n v="38276"/>
    <n v="6216.2"/>
    <n v="0"/>
    <n v="0"/>
    <n v="0"/>
    <n v="0"/>
    <n v="0"/>
    <n v="0"/>
    <n v="0"/>
    <n v="0"/>
    <n v="0"/>
    <n v="46723.199999999997"/>
    <n v="38276"/>
    <n v="6216.2"/>
    <n v="0"/>
    <n v="0"/>
    <n v="0"/>
    <n v="0"/>
    <n v="0"/>
    <x v="1"/>
    <x v="35"/>
    <x v="35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9. COMERCIALIZACION DE MEDICAMENTOS E INSUMOS"/>
    <s v="20. SALUD"/>
    <s v="044. SALUD INDIVIDUAL"/>
    <s v="0098. SERVICIOS DE DIAGNOSTICO Y TRATAMIENTO"/>
    <s v="00001"/>
    <s v="0001468. VENTA DE MEDICINAS"/>
    <s v="00006 - ATENCION"/>
    <n v="500000"/>
    <n v="250000"/>
    <n v="0"/>
    <n v="0"/>
    <x v="39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8. SUMINISTROS MEDICOS"/>
    <s v=" 1. PRODUCTOS FARMACEUTICOS"/>
    <s v="99. OTROS PRODUCTOS SIMILARES"/>
    <s v="7 . SUB CUENTA - RECURSOS DIRECTAMENTE RECAUDADOS"/>
    <n v="0"/>
    <n v="0"/>
    <n v="0"/>
    <n v="0"/>
    <n v="0"/>
    <n v="0"/>
    <n v="0"/>
    <n v="0"/>
    <n v="0"/>
    <n v="0"/>
    <n v="0"/>
    <n v="10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80"/>
    <x v="80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7 . SUB CUENTA - RECURSOS DIRECTAMENTE RECAUDADOS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x v="1"/>
    <x v="36"/>
    <x v="36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30000"/>
    <n v="75000"/>
    <n v="0"/>
    <n v="0"/>
    <x v="36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7 . SUB CUENTA - RECURSOS DIRECTAMENTE RECAUDADOS"/>
    <n v="0"/>
    <n v="0"/>
    <n v="0"/>
    <n v="0"/>
    <n v="0"/>
    <n v="0"/>
    <n v="0"/>
    <n v="0"/>
    <n v="74408.58"/>
    <n v="312"/>
    <n v="0"/>
    <n v="0"/>
    <n v="0"/>
    <n v="0"/>
    <n v="0"/>
    <n v="0"/>
    <n v="0"/>
    <n v="0"/>
    <n v="0"/>
    <n v="0"/>
    <n v="11346.08"/>
    <n v="28440"/>
    <n v="312"/>
    <n v="8837.5"/>
    <n v="0"/>
    <n v="0"/>
    <n v="0"/>
    <n v="0"/>
    <n v="0"/>
    <n v="0"/>
    <n v="0"/>
    <n v="0"/>
    <n v="0"/>
    <n v="12179.48"/>
    <n v="21498.6"/>
    <n v="8837.5"/>
    <n v="0"/>
    <n v="0"/>
    <n v="0"/>
    <n v="0"/>
    <n v="0"/>
    <n v="0"/>
    <n v="0"/>
    <n v="0"/>
    <n v="0"/>
    <n v="12179.48"/>
    <n v="21498.6"/>
    <n v="8837.5"/>
    <n v="0"/>
    <n v="0"/>
    <n v="0"/>
    <n v="0"/>
    <n v="0"/>
    <x v="1"/>
    <x v="36"/>
    <x v="36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9. COMERCIALIZACION DE MEDICAMENTOS E INSUMOS"/>
    <s v="20. SALUD"/>
    <s v="044. SALUD INDIVIDUAL"/>
    <s v="0098. SERVICIOS DE DIAGNOSTICO Y TRATAMIENTO"/>
    <s v="00001"/>
    <s v="0001468. VENTA DE MEDICINAS"/>
    <s v="00006 - ATENCION"/>
    <n v="500000"/>
    <n v="250000"/>
    <n v="0"/>
    <n v="0"/>
    <x v="39"/>
    <s v="05. AYACUCHO"/>
    <s v="01. HUAMANGA"/>
    <s v="01. AYACUCHO"/>
    <x v="1"/>
    <s v="09. RECURSOS DIRECTAMENTE RECAUDADO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7 . SUB CUENTA - RECURSOS DIRECTAMENTE RECAUDADOS"/>
    <n v="0"/>
    <n v="0"/>
    <n v="0"/>
    <n v="0"/>
    <n v="0"/>
    <n v="0"/>
    <n v="0"/>
    <n v="0"/>
    <n v="36271.800000000003"/>
    <n v="213564"/>
    <n v="0"/>
    <n v="164800"/>
    <n v="0"/>
    <n v="0"/>
    <n v="0"/>
    <n v="0"/>
    <n v="0"/>
    <n v="0"/>
    <n v="0"/>
    <n v="0"/>
    <n v="0"/>
    <n v="147380.79999999999"/>
    <n v="102455"/>
    <n v="70000"/>
    <n v="0"/>
    <n v="0"/>
    <n v="0"/>
    <n v="0"/>
    <n v="0"/>
    <n v="0"/>
    <n v="0"/>
    <n v="0"/>
    <n v="0"/>
    <n v="53588.800000000003"/>
    <n v="196247"/>
    <n v="0"/>
    <n v="0"/>
    <n v="0"/>
    <n v="0"/>
    <n v="0"/>
    <n v="0"/>
    <n v="0"/>
    <n v="0"/>
    <n v="0"/>
    <n v="0"/>
    <n v="53588.800000000003"/>
    <n v="196247"/>
    <n v="0"/>
    <n v="0"/>
    <n v="0"/>
    <n v="0"/>
    <n v="0"/>
    <n v="0"/>
    <x v="1"/>
    <x v="36"/>
    <x v="36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11. SUMINISTROS PARA MANTENIMIENTO Y REPARACION"/>
    <s v=" 1. SUMINISTROS PARA MANTENIMIENTO Y REPARACION"/>
    <s v=" 1. PARA EDIFICIOS Y ESTRUCTURAS"/>
    <s v="7 . SUB CUENTA - RECURSOS DIRECTAMENTE RECAUDADOS"/>
    <n v="0"/>
    <n v="0"/>
    <n v="0"/>
    <n v="0"/>
    <n v="0"/>
    <n v="0"/>
    <n v="0"/>
    <n v="0"/>
    <n v="700"/>
    <n v="0"/>
    <n v="0"/>
    <n v="0"/>
    <n v="0"/>
    <n v="0"/>
    <n v="0"/>
    <n v="0"/>
    <n v="0"/>
    <n v="0"/>
    <n v="0"/>
    <n v="0"/>
    <n v="700"/>
    <n v="0"/>
    <n v="0"/>
    <n v="0"/>
    <n v="0"/>
    <n v="0"/>
    <n v="0"/>
    <n v="0"/>
    <n v="0"/>
    <n v="0"/>
    <n v="0"/>
    <n v="0"/>
    <n v="700"/>
    <n v="0"/>
    <n v="0"/>
    <n v="0"/>
    <n v="0"/>
    <n v="0"/>
    <n v="0"/>
    <n v="0"/>
    <n v="0"/>
    <n v="0"/>
    <n v="0"/>
    <n v="0"/>
    <n v="700"/>
    <n v="0"/>
    <n v="0"/>
    <n v="0"/>
    <n v="0"/>
    <n v="0"/>
    <n v="0"/>
    <n v="0"/>
    <n v="0"/>
    <x v="1"/>
    <x v="39"/>
    <x v="39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11. SUMINISTROS PARA MANTENIMIENTO Y REPARACION"/>
    <s v=" 1. SUMINISTROS PARA MANTENIMIENTO Y REPARACION"/>
    <s v=" 2. PARA VEHICULOS"/>
    <s v="7 . SUB CUENTA - RECURSOS DIRECTAMENTE RECAUDADOS"/>
    <n v="0"/>
    <n v="0"/>
    <n v="0"/>
    <n v="0"/>
    <n v="0"/>
    <n v="0"/>
    <n v="0"/>
    <n v="0"/>
    <n v="700"/>
    <n v="0"/>
    <n v="0"/>
    <n v="0"/>
    <n v="0"/>
    <n v="0"/>
    <n v="0"/>
    <n v="0"/>
    <n v="0"/>
    <n v="0"/>
    <n v="0"/>
    <n v="0"/>
    <n v="700"/>
    <n v="0"/>
    <n v="0"/>
    <n v="0"/>
    <n v="0"/>
    <n v="0"/>
    <n v="0"/>
    <n v="0"/>
    <n v="0"/>
    <n v="0"/>
    <n v="0"/>
    <n v="0"/>
    <n v="700"/>
    <n v="0"/>
    <n v="0"/>
    <n v="0"/>
    <n v="0"/>
    <n v="0"/>
    <n v="0"/>
    <n v="0"/>
    <n v="0"/>
    <n v="0"/>
    <n v="0"/>
    <n v="0"/>
    <n v="700"/>
    <n v="0"/>
    <n v="0"/>
    <n v="0"/>
    <n v="0"/>
    <n v="0"/>
    <n v="0"/>
    <n v="0"/>
    <n v="0"/>
    <x v="1"/>
    <x v="40"/>
    <x v="40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11. SUMINISTROS PARA MANTENIMIENTO Y REPARACION"/>
    <s v=" 1. SUMINISTROS PARA MANTENIMIENTO Y REPARACION"/>
    <s v=" 4. PARA MAQUINARIAS Y EQUIPOS"/>
    <s v="7 . SUB CUENTA - RECURSOS DIRECTAMENTE RECAUDADOS"/>
    <n v="0"/>
    <n v="0"/>
    <n v="0"/>
    <n v="0"/>
    <n v="0"/>
    <n v="0"/>
    <n v="0"/>
    <n v="0"/>
    <n v="700"/>
    <n v="0"/>
    <n v="0"/>
    <n v="0"/>
    <n v="0"/>
    <n v="0"/>
    <n v="0"/>
    <n v="0"/>
    <n v="0"/>
    <n v="0"/>
    <n v="0"/>
    <n v="0"/>
    <n v="700"/>
    <n v="0"/>
    <n v="0"/>
    <n v="0"/>
    <n v="0"/>
    <n v="0"/>
    <n v="0"/>
    <n v="0"/>
    <n v="0"/>
    <n v="0"/>
    <n v="0"/>
    <n v="0"/>
    <n v="700"/>
    <n v="0"/>
    <n v="0"/>
    <n v="0"/>
    <n v="0"/>
    <n v="0"/>
    <n v="0"/>
    <n v="0"/>
    <n v="0"/>
    <n v="0"/>
    <n v="0"/>
    <n v="0"/>
    <n v="700"/>
    <n v="0"/>
    <n v="0"/>
    <n v="0"/>
    <n v="0"/>
    <n v="0"/>
    <n v="0"/>
    <n v="0"/>
    <n v="0"/>
    <x v="1"/>
    <x v="81"/>
    <x v="81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11. SUMINISTROS PARA MANTENIMIENTO Y REPARACION"/>
    <s v=" 1. SUMINISTROS PARA MANTENIMIENTO Y REPARACION"/>
    <s v=" 5. OTROS MATERIALES DE MANTENIMIENTO"/>
    <s v="7 . SUB CUENTA - RECURSOS DIRECTAMENTE RECAUDADOS"/>
    <n v="0"/>
    <n v="0"/>
    <n v="0"/>
    <n v="0"/>
    <n v="0"/>
    <n v="0"/>
    <n v="0"/>
    <n v="0"/>
    <n v="700"/>
    <n v="0"/>
    <n v="0"/>
    <n v="0"/>
    <n v="0"/>
    <n v="0"/>
    <n v="0"/>
    <n v="0"/>
    <n v="0"/>
    <n v="0"/>
    <n v="0"/>
    <n v="0"/>
    <n v="700"/>
    <n v="0"/>
    <n v="0"/>
    <n v="0"/>
    <n v="0"/>
    <n v="0"/>
    <n v="0"/>
    <n v="0"/>
    <n v="0"/>
    <n v="0"/>
    <n v="0"/>
    <n v="0"/>
    <n v="700"/>
    <n v="0"/>
    <n v="0"/>
    <n v="0"/>
    <n v="0"/>
    <n v="0"/>
    <n v="0"/>
    <n v="0"/>
    <n v="0"/>
    <n v="0"/>
    <n v="0"/>
    <n v="0"/>
    <n v="700"/>
    <n v="0"/>
    <n v="0"/>
    <n v="0"/>
    <n v="0"/>
    <n v="0"/>
    <n v="0"/>
    <n v="0"/>
    <n v="0"/>
    <x v="1"/>
    <x v="41"/>
    <x v="41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11. SUMINISTROS PARA MANTENIMIENTO Y REPARACION"/>
    <s v=" 1. SUMINISTROS PARA MANTENIMIENTO Y REPARACION"/>
    <s v=" 6. MATERIALES DE  ACONDICIONAMIENTO"/>
    <s v="7 . SUB CUENTA - RECURSOS DIRECTAMENTE RECAUDADOS"/>
    <n v="0"/>
    <n v="0"/>
    <n v="0"/>
    <n v="0"/>
    <n v="0"/>
    <n v="0"/>
    <n v="0"/>
    <n v="0"/>
    <n v="700"/>
    <n v="0"/>
    <n v="0"/>
    <n v="0"/>
    <n v="0"/>
    <n v="0"/>
    <n v="0"/>
    <n v="0"/>
    <n v="0"/>
    <n v="0"/>
    <n v="0"/>
    <n v="0"/>
    <n v="700"/>
    <n v="0"/>
    <n v="0"/>
    <n v="0"/>
    <n v="0"/>
    <n v="0"/>
    <n v="0"/>
    <n v="0"/>
    <n v="0"/>
    <n v="0"/>
    <n v="0"/>
    <n v="0"/>
    <n v="700"/>
    <n v="0"/>
    <n v="0"/>
    <n v="0"/>
    <n v="0"/>
    <n v="0"/>
    <n v="0"/>
    <n v="0"/>
    <n v="0"/>
    <n v="0"/>
    <n v="0"/>
    <n v="0"/>
    <n v="700"/>
    <n v="0"/>
    <n v="0"/>
    <n v="0"/>
    <n v="0"/>
    <n v="0"/>
    <n v="0"/>
    <n v="0"/>
    <n v="0"/>
    <x v="1"/>
    <x v="82"/>
    <x v="82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1. COMPRA DE BIENES"/>
    <s v="99. COMPRA DE OTROS BIENES"/>
    <s v=" 1. COMPRA DE OTROS BIENES"/>
    <s v=" 3. LIBROS, DIARIOS, REVISTAS Y OTROS BIENES IMPRESOS NO VINCULADOS A ENSEÑANZA"/>
    <s v="7 . SUB CUENTA - RECURSOS DIRECTAMENTE RECAUDADOS"/>
    <n v="0"/>
    <n v="0"/>
    <n v="0"/>
    <n v="0"/>
    <n v="0"/>
    <n v="0"/>
    <n v="0"/>
    <n v="0"/>
    <n v="0"/>
    <n v="975"/>
    <n v="0"/>
    <n v="0"/>
    <n v="0"/>
    <n v="0"/>
    <n v="0"/>
    <n v="0"/>
    <n v="0"/>
    <n v="0"/>
    <n v="0"/>
    <n v="0"/>
    <n v="0"/>
    <n v="0"/>
    <n v="975"/>
    <n v="0"/>
    <n v="0"/>
    <n v="0"/>
    <n v="0"/>
    <n v="0"/>
    <n v="0"/>
    <n v="0"/>
    <n v="0"/>
    <n v="0"/>
    <n v="0"/>
    <n v="0"/>
    <n v="975"/>
    <n v="0"/>
    <n v="0"/>
    <n v="0"/>
    <n v="0"/>
    <n v="0"/>
    <n v="0"/>
    <n v="0"/>
    <n v="0"/>
    <n v="0"/>
    <n v="0"/>
    <n v="0"/>
    <n v="975"/>
    <n v="0"/>
    <n v="0"/>
    <n v="0"/>
    <n v="0"/>
    <n v="0"/>
    <n v="0"/>
    <x v="1"/>
    <x v="42"/>
    <x v="42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1. VIAJES"/>
    <s v=" 2. VIAJES DOMESTICOS"/>
    <s v=" 1. PASAJES Y GASTOS DE TRANSPORTE"/>
    <s v="7 . SUB CUENTA - RECURSOS DIRECTAMENTE RECAUDADOS"/>
    <n v="0"/>
    <n v="0"/>
    <n v="0"/>
    <n v="0"/>
    <n v="0"/>
    <n v="0"/>
    <n v="0"/>
    <n v="0"/>
    <n v="400"/>
    <n v="0"/>
    <n v="0"/>
    <n v="0"/>
    <n v="0"/>
    <n v="0"/>
    <n v="0"/>
    <n v="0"/>
    <n v="0"/>
    <n v="0"/>
    <n v="0"/>
    <n v="0"/>
    <n v="400"/>
    <n v="0"/>
    <n v="0"/>
    <n v="0"/>
    <n v="0"/>
    <n v="0"/>
    <n v="0"/>
    <n v="0"/>
    <n v="0"/>
    <n v="0"/>
    <n v="0"/>
    <n v="0"/>
    <n v="400"/>
    <n v="0"/>
    <n v="0"/>
    <n v="0"/>
    <n v="0"/>
    <n v="0"/>
    <n v="0"/>
    <n v="0"/>
    <n v="0"/>
    <n v="0"/>
    <n v="0"/>
    <n v="0"/>
    <n v="400"/>
    <n v="0"/>
    <n v="0"/>
    <n v="0"/>
    <n v="0"/>
    <n v="0"/>
    <n v="0"/>
    <n v="0"/>
    <n v="0"/>
    <x v="1"/>
    <x v="44"/>
    <x v="44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1. VIAJES"/>
    <s v=" 2. VIAJES DOMESTICOS"/>
    <s v=" 2. VIATICOS Y ASIGNACIONES POR COMISION DE SERVICIO"/>
    <s v="7 . SUB CUENTA - RECURSOS DIRECTAMENTE RECAUDADOS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x v="1"/>
    <x v="45"/>
    <x v="45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30000"/>
    <n v="75000"/>
    <n v="0"/>
    <n v="0"/>
    <x v="36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1. VIAJES"/>
    <s v=" 2. VIAJES DOMESTICOS"/>
    <s v=" 2. VIATICOS Y ASIGNACIONES POR COMISION DE SERVICIO"/>
    <s v="7 . SUB CUENTA - RECURSOS DIRECTAMENTE RECAUDADOS"/>
    <n v="0"/>
    <n v="0"/>
    <n v="0"/>
    <n v="0"/>
    <n v="0"/>
    <n v="0"/>
    <n v="0"/>
    <n v="1560"/>
    <n v="0"/>
    <n v="0"/>
    <n v="0"/>
    <n v="0"/>
    <n v="0"/>
    <n v="0"/>
    <n v="0"/>
    <n v="0"/>
    <n v="0"/>
    <n v="0"/>
    <n v="0"/>
    <n v="0"/>
    <n v="1560"/>
    <n v="0"/>
    <n v="0"/>
    <n v="0"/>
    <n v="0"/>
    <n v="0"/>
    <n v="0"/>
    <n v="0"/>
    <n v="0"/>
    <n v="0"/>
    <n v="0"/>
    <n v="0"/>
    <n v="1560"/>
    <n v="0"/>
    <n v="0"/>
    <n v="0"/>
    <n v="0"/>
    <n v="0"/>
    <n v="0"/>
    <n v="0"/>
    <n v="0"/>
    <n v="0"/>
    <n v="0"/>
    <n v="0"/>
    <n v="1560"/>
    <n v="0"/>
    <n v="0"/>
    <n v="0"/>
    <n v="0"/>
    <n v="0"/>
    <n v="0"/>
    <n v="0"/>
    <n v="0"/>
    <x v="1"/>
    <x v="45"/>
    <x v="45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1"/>
    <n v="1384"/>
    <n v="0"/>
    <n v="0"/>
    <x v="48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2. SERVICIOS BASICOS, COMUNICACIONES, PUBLICIDAD Y DIFUSION"/>
    <s v=" 2. SERVICIOS DE TELEFONIA E INTERNET"/>
    <s v=" 3. SERVICIO DE INTERNET"/>
    <s v="7 . SUB CUENTA - RECURSOS DIRECTAMENTE RECAUDADOS"/>
    <n v="0"/>
    <n v="0"/>
    <n v="0"/>
    <n v="0"/>
    <n v="0"/>
    <n v="0"/>
    <n v="0"/>
    <n v="0"/>
    <n v="0"/>
    <n v="0"/>
    <n v="0"/>
    <n v="2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50"/>
    <x v="50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2. SERVICIOS BASICOS, COMUNICACIONES, PUBLICIDAD Y DIFUSION"/>
    <s v=" 3. SERVICIOS DE MENSAJERIA, TELECOMUNICACIONES Y OTROS AFINES"/>
    <s v=" 1. CORREOS Y SERVICIOS DE MENSAJERIA"/>
    <s v="7 . SUB CUENTA - RECURSOS DIRECTAMENTE RECAUDADOS"/>
    <n v="0"/>
    <n v="0"/>
    <n v="0"/>
    <n v="0"/>
    <n v="0"/>
    <n v="0"/>
    <n v="0"/>
    <n v="0"/>
    <n v="1197"/>
    <n v="837"/>
    <n v="1541"/>
    <n v="0"/>
    <n v="0"/>
    <n v="0"/>
    <n v="0"/>
    <n v="0"/>
    <n v="0"/>
    <n v="0"/>
    <n v="0"/>
    <n v="0"/>
    <n v="1197"/>
    <n v="0"/>
    <n v="1404"/>
    <n v="0"/>
    <n v="0"/>
    <n v="0"/>
    <n v="0"/>
    <n v="0"/>
    <n v="0"/>
    <n v="0"/>
    <n v="0"/>
    <n v="0"/>
    <n v="300"/>
    <n v="897"/>
    <n v="1404"/>
    <n v="0"/>
    <n v="0"/>
    <n v="0"/>
    <n v="0"/>
    <n v="0"/>
    <n v="0"/>
    <n v="0"/>
    <n v="0"/>
    <n v="0"/>
    <n v="300"/>
    <n v="897"/>
    <n v="1404"/>
    <n v="0"/>
    <n v="0"/>
    <n v="0"/>
    <n v="0"/>
    <n v="0"/>
    <n v="0"/>
    <x v="1"/>
    <x v="51"/>
    <x v="51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2. SERVICIOS BASICOS, COMUNICACIONES, PUBLICIDAD Y DIFUSION"/>
    <s v=" 4. SERVICIO DE PUBLICIDAD, IMPRESIONES, DIFUSION E IMAGEN INSTITUCIONAL"/>
    <s v=" 1. SERVICIO DE PUBLICIDAD"/>
    <s v="7 . SUB CUENTA - RECURSOS DIRECTAMENTE RECAUDADOS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x v="1"/>
    <x v="85"/>
    <x v="85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2. SERVICIOS BASICOS, COMUNICACIONES, PUBLICIDAD Y DIFUSION"/>
    <s v=" 4. SERVICIO DE PUBLICIDAD, IMPRESIONES, DIFUSION E IMAGEN INSTITUCIONAL"/>
    <s v=" 3. SERVICIOS DE IMAGEN INSTITUCIONAL"/>
    <s v="7 . SUB CUENTA - RECURSOS DIRECTAMENTE RECAUDADOS"/>
    <n v="0"/>
    <n v="0"/>
    <n v="0"/>
    <n v="0"/>
    <n v="0"/>
    <n v="0"/>
    <n v="0"/>
    <n v="0"/>
    <n v="400"/>
    <n v="0"/>
    <n v="0"/>
    <n v="0"/>
    <n v="0"/>
    <n v="0"/>
    <n v="0"/>
    <n v="0"/>
    <n v="0"/>
    <n v="0"/>
    <n v="0"/>
    <n v="0"/>
    <n v="400"/>
    <n v="0"/>
    <n v="0"/>
    <n v="0"/>
    <n v="0"/>
    <n v="0"/>
    <n v="0"/>
    <n v="0"/>
    <n v="0"/>
    <n v="0"/>
    <n v="0"/>
    <n v="0"/>
    <n v="400"/>
    <n v="0"/>
    <n v="0"/>
    <n v="0"/>
    <n v="0"/>
    <n v="0"/>
    <n v="0"/>
    <n v="0"/>
    <n v="0"/>
    <n v="0"/>
    <n v="0"/>
    <n v="0"/>
    <n v="400"/>
    <n v="0"/>
    <n v="0"/>
    <n v="0"/>
    <n v="0"/>
    <n v="0"/>
    <n v="0"/>
    <n v="0"/>
    <n v="0"/>
    <x v="1"/>
    <x v="86"/>
    <x v="86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4. SERVICIO DE MANTENIMIENTO, ACONDICIONAMIENTO Y  REPARACIONES"/>
    <s v=" 2. DE EDIFICACIONES, OFICINAS Y ESTRUCTURAS"/>
    <s v=" 1. DE EDIFICACIONES, OFICINAS Y ESTRUCTURAS"/>
    <s v="7 . SUB CUENTA - RECURSOS DIRECTAMENTE RECAUDADOS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x v="1"/>
    <x v="55"/>
    <x v="55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30000"/>
    <n v="75000"/>
    <n v="0"/>
    <n v="0"/>
    <x v="36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4. SERVICIO DE MANTENIMIENTO, ACONDICIONAMIENTO Y  REPARACIONES"/>
    <s v=" 2. DE EDIFICACIONES, OFICINAS Y ESTRUCTURAS"/>
    <s v=" 1. DE EDIFICACIONES, OFICINAS Y ESTRUCTURAS"/>
    <s v="7 . SUB CUENTA - RECURSOS DIRECTAMENTE RECAUDADOS"/>
    <n v="0"/>
    <n v="0"/>
    <n v="0"/>
    <n v="0"/>
    <n v="0"/>
    <n v="0"/>
    <n v="0"/>
    <n v="0"/>
    <n v="17940"/>
    <n v="0"/>
    <n v="0"/>
    <n v="0"/>
    <n v="0"/>
    <n v="0"/>
    <n v="0"/>
    <n v="0"/>
    <n v="0"/>
    <n v="0"/>
    <n v="0"/>
    <n v="0"/>
    <n v="0"/>
    <n v="17940"/>
    <n v="0"/>
    <n v="0"/>
    <n v="0"/>
    <n v="0"/>
    <n v="0"/>
    <n v="0"/>
    <n v="0"/>
    <n v="0"/>
    <n v="0"/>
    <n v="0"/>
    <n v="0"/>
    <n v="0"/>
    <n v="17940"/>
    <n v="0"/>
    <n v="0"/>
    <n v="0"/>
    <n v="0"/>
    <n v="0"/>
    <n v="0"/>
    <n v="0"/>
    <n v="0"/>
    <n v="0"/>
    <n v="0"/>
    <n v="0"/>
    <n v="17940"/>
    <n v="0"/>
    <n v="0"/>
    <n v="0"/>
    <n v="0"/>
    <n v="0"/>
    <n v="0"/>
    <x v="1"/>
    <x v="55"/>
    <x v="55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9. COMERCIALIZACION DE MEDICAMENTOS E INSUMOS"/>
    <s v="20. SALUD"/>
    <s v="044. SALUD INDIVIDUAL"/>
    <s v="0098. SERVICIOS DE DIAGNOSTICO Y TRATAMIENTO"/>
    <s v="00001"/>
    <s v="0001468. VENTA DE MEDICINAS"/>
    <s v="00006 - ATENCION"/>
    <n v="500000"/>
    <n v="250000"/>
    <n v="0"/>
    <n v="0"/>
    <x v="39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4. SERVICIO DE MANTENIMIENTO, ACONDICIONAMIENTO Y  REPARACIONES"/>
    <s v=" 2. DE EDIFICACIONES, OFICINAS Y ESTRUCTURAS"/>
    <s v=" 1. DE EDIFICACIONES, OFICINAS Y ESTRUCTURAS"/>
    <s v="7 . SUB CUENTA - RECURSOS DIRECTAMENTE RECAUDADOS"/>
    <n v="0"/>
    <n v="0"/>
    <n v="0"/>
    <n v="0"/>
    <n v="0"/>
    <n v="0"/>
    <n v="0"/>
    <n v="0"/>
    <n v="9200"/>
    <n v="0"/>
    <n v="0"/>
    <n v="0"/>
    <n v="0"/>
    <n v="0"/>
    <n v="0"/>
    <n v="0"/>
    <n v="0"/>
    <n v="0"/>
    <n v="0"/>
    <n v="0"/>
    <n v="0"/>
    <n v="0"/>
    <n v="9200"/>
    <n v="0"/>
    <n v="0"/>
    <n v="0"/>
    <n v="0"/>
    <n v="0"/>
    <n v="0"/>
    <n v="0"/>
    <n v="0"/>
    <n v="0"/>
    <n v="0"/>
    <n v="0"/>
    <n v="9200"/>
    <n v="0"/>
    <n v="0"/>
    <n v="0"/>
    <n v="0"/>
    <n v="0"/>
    <n v="0"/>
    <n v="0"/>
    <n v="0"/>
    <n v="0"/>
    <n v="0"/>
    <n v="0"/>
    <n v="9200"/>
    <n v="0"/>
    <n v="0"/>
    <n v="0"/>
    <n v="0"/>
    <n v="0"/>
    <n v="0"/>
    <x v="1"/>
    <x v="55"/>
    <x v="55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4. SERVICIO DE MANTENIMIENTO, ACONDICIONAMIENTO Y  REPARACIONES"/>
    <s v=" 7. DE MAQUINARIAS Y EQUIPOS"/>
    <s v=" 1. DE MAQUINARIAS Y EQUIPOS"/>
    <s v="7 . SUB CUENTA - RECURSOS DIRECTAMENTE RECAUDADOS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x v="1"/>
    <x v="57"/>
    <x v="57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4. SERVICIO DE MANTENIMIENTO, ACONDICIONAMIENTO Y  REPARACIONES"/>
    <s v="99. DE OTROS BIENES Y ACTIVOS"/>
    <s v="99. DE OTROS BIENES Y ACTIVOS"/>
    <s v="7 . SUB CUENTA - RECURSOS DIRECTAMENTE RECAUDADOS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n v="0"/>
    <n v="0"/>
    <n v="0"/>
    <n v="500"/>
    <n v="0"/>
    <n v="0"/>
    <n v="0"/>
    <n v="0"/>
    <n v="0"/>
    <n v="0"/>
    <n v="0"/>
    <n v="0"/>
    <x v="1"/>
    <x v="87"/>
    <x v="87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6. SERVICIOS ADMINISTRATIVOS, FINANCIEROS Y DE SEGUROS"/>
    <s v=" 1. SERVICIOS ADMINISTRATIVOS"/>
    <s v=" 1. GASTOS LEGALES Y JUDICIALES"/>
    <s v="7 . SUB CUENTA - RECURSOS DIRECTAMENTE RECAUDADOS"/>
    <n v="0"/>
    <n v="0"/>
    <n v="0"/>
    <n v="0"/>
    <n v="0"/>
    <n v="0"/>
    <n v="0"/>
    <n v="0"/>
    <n v="200"/>
    <n v="0"/>
    <n v="0"/>
    <n v="0"/>
    <n v="0"/>
    <n v="0"/>
    <n v="0"/>
    <n v="0"/>
    <n v="0"/>
    <n v="0"/>
    <n v="0"/>
    <n v="0"/>
    <n v="200"/>
    <n v="0"/>
    <n v="0"/>
    <n v="0"/>
    <n v="0"/>
    <n v="0"/>
    <n v="0"/>
    <n v="0"/>
    <n v="0"/>
    <n v="0"/>
    <n v="0"/>
    <n v="0"/>
    <n v="200"/>
    <n v="0"/>
    <n v="0"/>
    <n v="0"/>
    <n v="0"/>
    <n v="0"/>
    <n v="0"/>
    <n v="0"/>
    <n v="0"/>
    <n v="0"/>
    <n v="0"/>
    <n v="0"/>
    <n v="200"/>
    <n v="0"/>
    <n v="0"/>
    <n v="0"/>
    <n v="0"/>
    <n v="0"/>
    <n v="0"/>
    <n v="0"/>
    <n v="0"/>
    <x v="1"/>
    <x v="92"/>
    <x v="92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6. SERVICIOS ADMINISTRATIVOS, FINANCIEROS Y DE SEGUROS"/>
    <s v=" 1. SERVICIOS ADMINISTRATIVOS"/>
    <s v=" 2. GASTOS NOTARIALES"/>
    <s v="7 . SUB CUENTA - RECURSOS DIRECTAMENTE RECAUDADOS"/>
    <n v="0"/>
    <n v="0"/>
    <n v="0"/>
    <n v="0"/>
    <n v="0"/>
    <n v="0"/>
    <n v="0"/>
    <n v="0"/>
    <n v="400"/>
    <n v="1600"/>
    <n v="0"/>
    <n v="0"/>
    <n v="0"/>
    <n v="0"/>
    <n v="0"/>
    <n v="0"/>
    <n v="0"/>
    <n v="0"/>
    <n v="0"/>
    <n v="0"/>
    <n v="400"/>
    <n v="0"/>
    <n v="1600"/>
    <n v="0"/>
    <n v="0"/>
    <n v="0"/>
    <n v="0"/>
    <n v="0"/>
    <n v="0"/>
    <n v="0"/>
    <n v="0"/>
    <n v="0"/>
    <n v="400"/>
    <n v="0"/>
    <n v="1600"/>
    <n v="0"/>
    <n v="0"/>
    <n v="0"/>
    <n v="0"/>
    <n v="0"/>
    <n v="0"/>
    <n v="0"/>
    <n v="0"/>
    <n v="0"/>
    <n v="400"/>
    <n v="0"/>
    <n v="1600"/>
    <n v="0"/>
    <n v="0"/>
    <n v="0"/>
    <n v="0"/>
    <n v="0"/>
    <n v="0"/>
    <x v="1"/>
    <x v="58"/>
    <x v="58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6. SERVICIOS ADMINISTRATIVOS, FINANCIEROS Y DE SEGUROS"/>
    <s v=" 2. SERVICIOS FINANCIEROS"/>
    <s v="99. OTROS SERVICIOS FINANCIEROS"/>
    <s v="7 . SUB CUENTA - RECURSOS DIRECTAMENTE RECAUDADOS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x v="1"/>
    <x v="93"/>
    <x v="93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9. COMERCIALIZACION DE MEDICAMENTOS E INSUMOS"/>
    <s v="20. SALUD"/>
    <s v="044. SALUD INDIVIDUAL"/>
    <s v="0098. SERVICIOS DE DIAGNOSTICO Y TRATAMIENTO"/>
    <s v="00001"/>
    <s v="0001468. VENTA DE MEDICINAS"/>
    <s v="00006 - ATENCION"/>
    <n v="500000"/>
    <n v="250000"/>
    <n v="0"/>
    <n v="0"/>
    <x v="39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7. SERVICIOS PROFESIONALES Y TECNICOS"/>
    <s v=" 2. SERVICIOS DE CONSULTORIAS Y SIMILARES DESARROLLADOS POR PERSONAS NATURALES"/>
    <s v="99. OTROS SERVICIOS SIMILARES"/>
    <s v="7 . SUB CUENTA - RECURSOS DIRECTAMENTE RECAUDADOS"/>
    <n v="0"/>
    <n v="0"/>
    <n v="0"/>
    <n v="0"/>
    <n v="0"/>
    <n v="0"/>
    <n v="0"/>
    <n v="0"/>
    <n v="0"/>
    <n v="0"/>
    <n v="0"/>
    <n v="40000"/>
    <n v="0"/>
    <n v="0"/>
    <n v="0"/>
    <n v="0"/>
    <n v="0"/>
    <n v="0"/>
    <n v="0"/>
    <n v="0"/>
    <n v="0"/>
    <n v="0"/>
    <n v="0"/>
    <n v="36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x v="94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7. SERVICIOS PROFESIONALES Y TECNICOS"/>
    <s v=" 4. SERVICIOS DE PROCESAMIENTO DE DATOS E INFORMATICA"/>
    <s v="99. OTROS SERVICIOS DE INFORMATICA"/>
    <s v="7 . SUB CUENTA - RECURSOS DIRECTAMENTE RECAUDADOS"/>
    <n v="0"/>
    <n v="0"/>
    <n v="0"/>
    <n v="0"/>
    <n v="0"/>
    <n v="0"/>
    <n v="0"/>
    <n v="0"/>
    <n v="4360"/>
    <n v="0"/>
    <n v="0"/>
    <n v="0"/>
    <n v="0"/>
    <n v="0"/>
    <n v="0"/>
    <n v="0"/>
    <n v="0"/>
    <n v="0"/>
    <n v="0"/>
    <n v="0"/>
    <n v="4360"/>
    <n v="0"/>
    <n v="0"/>
    <n v="0"/>
    <n v="0"/>
    <n v="0"/>
    <n v="0"/>
    <n v="0"/>
    <n v="0"/>
    <n v="0"/>
    <n v="0"/>
    <n v="0"/>
    <n v="0"/>
    <n v="4360"/>
    <n v="0"/>
    <n v="0"/>
    <n v="0"/>
    <n v="0"/>
    <n v="0"/>
    <n v="0"/>
    <n v="0"/>
    <n v="0"/>
    <n v="0"/>
    <n v="0"/>
    <n v="0"/>
    <n v="4360"/>
    <n v="0"/>
    <n v="0"/>
    <n v="0"/>
    <n v="0"/>
    <n v="0"/>
    <n v="0"/>
    <n v="0"/>
    <x v="1"/>
    <x v="95"/>
    <x v="95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7. SERVICIOS PROFESIONALES Y TECNICOS"/>
    <s v="11. OTROS SERVICIOS"/>
    <s v=" 1. EMBALAJE Y ALMACENAJE"/>
    <s v="7 . SUB CUENTA - RECURSOS DIRECTAMENTE RECAUDADOS"/>
    <n v="0"/>
    <n v="0"/>
    <n v="0"/>
    <n v="0"/>
    <n v="0"/>
    <n v="0"/>
    <n v="0"/>
    <n v="0"/>
    <n v="200"/>
    <n v="0"/>
    <n v="0"/>
    <n v="0"/>
    <n v="0"/>
    <n v="0"/>
    <n v="0"/>
    <n v="0"/>
    <n v="0"/>
    <n v="0"/>
    <n v="0"/>
    <n v="0"/>
    <n v="200"/>
    <n v="0"/>
    <n v="0"/>
    <n v="0"/>
    <n v="0"/>
    <n v="0"/>
    <n v="0"/>
    <n v="0"/>
    <n v="0"/>
    <n v="0"/>
    <n v="0"/>
    <n v="0"/>
    <n v="200"/>
    <n v="0"/>
    <n v="0"/>
    <n v="0"/>
    <n v="0"/>
    <n v="0"/>
    <n v="0"/>
    <n v="0"/>
    <n v="0"/>
    <n v="0"/>
    <n v="0"/>
    <n v="0"/>
    <n v="200"/>
    <n v="0"/>
    <n v="0"/>
    <n v="0"/>
    <n v="0"/>
    <n v="0"/>
    <n v="0"/>
    <n v="0"/>
    <n v="0"/>
    <x v="1"/>
    <x v="96"/>
    <x v="96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7. SERVICIOS PROFESIONALES Y TECNICOS"/>
    <s v="11. OTROS SERVICIOS"/>
    <s v=" 2. TRANSPORTE Y TRASLADO DE CARGA, BIENES Y MATERIALES"/>
    <s v="7 . SUB CUENTA - RECURSOS DIRECTAMENTE RECAUDADOS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n v="0"/>
    <n v="0"/>
    <n v="0"/>
    <n v="300"/>
    <n v="0"/>
    <n v="0"/>
    <n v="0"/>
    <n v="0"/>
    <n v="0"/>
    <n v="0"/>
    <n v="0"/>
    <n v="0"/>
    <x v="1"/>
    <x v="64"/>
    <x v="64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7. SERVICIOS PROFESIONALES Y TECNICOS"/>
    <s v="11. OTROS SERVICIOS"/>
    <s v=" 3. SERVICIOS RELACIONADOS CON FLORERIA, JARDINERIA Y OTRAS ACTIVIDADES SIMILARES"/>
    <s v="7 . SUB CUENTA - RECURSOS DIRECTAMENTE RECAUDADOS"/>
    <n v="0"/>
    <n v="0"/>
    <n v="0"/>
    <n v="0"/>
    <n v="0"/>
    <n v="0"/>
    <n v="0"/>
    <n v="0"/>
    <n v="400"/>
    <n v="0"/>
    <n v="0"/>
    <n v="0"/>
    <n v="0"/>
    <n v="0"/>
    <n v="0"/>
    <n v="0"/>
    <n v="0"/>
    <n v="0"/>
    <n v="0"/>
    <n v="0"/>
    <n v="400"/>
    <n v="0"/>
    <n v="0"/>
    <n v="0"/>
    <n v="0"/>
    <n v="0"/>
    <n v="0"/>
    <n v="0"/>
    <n v="0"/>
    <n v="0"/>
    <n v="0"/>
    <n v="0"/>
    <n v="400"/>
    <n v="0"/>
    <n v="0"/>
    <n v="0"/>
    <n v="0"/>
    <n v="0"/>
    <n v="0"/>
    <n v="0"/>
    <n v="0"/>
    <n v="0"/>
    <n v="0"/>
    <n v="0"/>
    <n v="400"/>
    <n v="0"/>
    <n v="0"/>
    <n v="0"/>
    <n v="0"/>
    <n v="0"/>
    <n v="0"/>
    <n v="0"/>
    <n v="0"/>
    <x v="1"/>
    <x v="97"/>
    <x v="97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1"/>
    <n v="1384"/>
    <n v="0"/>
    <n v="0"/>
    <x v="48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7. SERVICIOS PROFESIONALES Y TECNICOS"/>
    <s v="11. OTROS SERVICIOS"/>
    <s v=" 5. SERVICIOS DE ALIMENTACION DE CONSUMO HUMANO"/>
    <s v="7 . SUB CUENTA - RECURSOS DIRECTAMENTE RECAUDADOS"/>
    <n v="0"/>
    <n v="0"/>
    <n v="0"/>
    <n v="0"/>
    <n v="0"/>
    <n v="0"/>
    <n v="0"/>
    <n v="0"/>
    <n v="0"/>
    <n v="0"/>
    <n v="4500"/>
    <n v="0"/>
    <n v="0"/>
    <n v="0"/>
    <n v="0"/>
    <n v="0"/>
    <n v="0"/>
    <n v="0"/>
    <n v="0"/>
    <n v="0"/>
    <n v="0"/>
    <n v="0"/>
    <n v="4500"/>
    <n v="0"/>
    <n v="0"/>
    <n v="0"/>
    <n v="0"/>
    <n v="0"/>
    <n v="0"/>
    <n v="0"/>
    <n v="0"/>
    <n v="0"/>
    <n v="0"/>
    <n v="0"/>
    <n v="0"/>
    <n v="3960"/>
    <n v="0"/>
    <n v="0"/>
    <n v="0"/>
    <n v="0"/>
    <n v="0"/>
    <n v="0"/>
    <n v="0"/>
    <n v="0"/>
    <n v="0"/>
    <n v="0"/>
    <n v="0"/>
    <n v="3960"/>
    <n v="0"/>
    <n v="0"/>
    <n v="0"/>
    <n v="0"/>
    <n v="0"/>
    <x v="1"/>
    <x v="65"/>
    <x v="65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7. SERVICIOS PROFESIONALES Y TECNICOS"/>
    <s v="11. OTROS SERVICIOS"/>
    <s v=" 6. SERVICIO DE IMPRESIONES, ENCUADERNACION Y EMPASTADO"/>
    <s v="7 . SUB CUENTA - RECURSOS DIRECTAMENTE RECAUDADOS"/>
    <n v="0"/>
    <n v="0"/>
    <n v="0"/>
    <n v="0"/>
    <n v="0"/>
    <n v="0"/>
    <n v="0"/>
    <n v="0"/>
    <n v="400"/>
    <n v="11984"/>
    <n v="0"/>
    <n v="0"/>
    <n v="0"/>
    <n v="0"/>
    <n v="0"/>
    <n v="0"/>
    <n v="0"/>
    <n v="0"/>
    <n v="0"/>
    <n v="0"/>
    <n v="400"/>
    <n v="3417"/>
    <n v="8567"/>
    <n v="0"/>
    <n v="0"/>
    <n v="0"/>
    <n v="0"/>
    <n v="0"/>
    <n v="0"/>
    <n v="0"/>
    <n v="0"/>
    <n v="0"/>
    <n v="400"/>
    <n v="3417"/>
    <n v="8567"/>
    <n v="0"/>
    <n v="0"/>
    <n v="0"/>
    <n v="0"/>
    <n v="0"/>
    <n v="0"/>
    <n v="0"/>
    <n v="0"/>
    <n v="0"/>
    <n v="400"/>
    <n v="3417"/>
    <n v="8567"/>
    <n v="0"/>
    <n v="0"/>
    <n v="0"/>
    <n v="0"/>
    <n v="0"/>
    <n v="0"/>
    <x v="1"/>
    <x v="66"/>
    <x v="66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1"/>
    <s v=" ."/>
    <s v="3999999."/>
    <s v="5.ACTIVIDAD"/>
    <s v="5000003. GESTION ADMINISTRATIVA"/>
    <s v="20. SALUD"/>
    <s v="006. GESTION"/>
    <s v="0008. ASESORAMIENTO Y APOYO"/>
    <s v="00001"/>
    <s v="0000888. GESTION ADMINISTRATIVA"/>
    <s v="00001 - ACCION"/>
    <n v="12"/>
    <n v="854"/>
    <n v="0"/>
    <n v="0"/>
    <x v="2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7. SERVICIOS PROFESIONALES Y TECNICOS"/>
    <s v="11. OTROS SERVICIOS"/>
    <s v="99. SERVICIOS DIVERSOS"/>
    <s v="7 . SUB CUENTA - RECURSOS DIRECTAMENTE RECAUDADOS"/>
    <n v="0"/>
    <n v="0"/>
    <n v="0"/>
    <n v="0"/>
    <n v="0"/>
    <n v="0"/>
    <n v="0"/>
    <n v="0"/>
    <n v="11100"/>
    <n v="40500"/>
    <n v="8800"/>
    <n v="32300"/>
    <n v="0"/>
    <n v="0"/>
    <n v="0"/>
    <n v="0"/>
    <n v="0"/>
    <n v="0"/>
    <n v="0"/>
    <n v="0"/>
    <n v="9600"/>
    <n v="16820"/>
    <n v="33980"/>
    <n v="24100"/>
    <n v="0"/>
    <n v="0"/>
    <n v="0"/>
    <n v="0"/>
    <n v="0"/>
    <n v="0"/>
    <n v="0"/>
    <n v="0"/>
    <n v="9600"/>
    <n v="15320"/>
    <n v="35480"/>
    <n v="21100"/>
    <n v="0"/>
    <n v="0"/>
    <n v="0"/>
    <n v="0"/>
    <n v="0"/>
    <n v="0"/>
    <n v="0"/>
    <n v="0"/>
    <n v="9600"/>
    <n v="15320"/>
    <n v="35480"/>
    <n v="21100"/>
    <n v="0"/>
    <n v="0"/>
    <n v="0"/>
    <n v="0"/>
    <n v="0"/>
    <x v="1"/>
    <x v="67"/>
    <x v="67"/>
    <x v="1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00. ATENCION BASICA DE SALUD"/>
    <s v="20. SALUD"/>
    <s v="044. SALUD INDIVIDUAL"/>
    <s v="0096. ATENCION MEDICA BASICA"/>
    <s v="00001"/>
    <s v="0000251. ATENCION BASICA"/>
    <s v="00006 - ATENCION"/>
    <n v="200000"/>
    <n v="100000"/>
    <n v="0"/>
    <n v="0"/>
    <x v="33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7. SERVICIOS PROFESIONALES Y TECNICOS"/>
    <s v="11. OTROS SERVICIOS"/>
    <s v="99. SERVICIOS DIVERSOS"/>
    <s v="7 . SUB CUENTA - RECURSOS DIRECTAMENTE RECAUDADOS"/>
    <n v="0"/>
    <n v="0"/>
    <n v="0"/>
    <n v="0"/>
    <n v="0"/>
    <n v="0"/>
    <n v="0"/>
    <n v="0"/>
    <n v="0"/>
    <n v="0"/>
    <n v="2835"/>
    <n v="0"/>
    <n v="0"/>
    <n v="0"/>
    <n v="0"/>
    <n v="0"/>
    <n v="0"/>
    <n v="0"/>
    <n v="0"/>
    <n v="0"/>
    <n v="0"/>
    <n v="0"/>
    <n v="0"/>
    <n v="28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7"/>
    <x v="67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9. COMERCIALIZACION DE MEDICAMENTOS E INSUMOS"/>
    <s v="20. SALUD"/>
    <s v="044. SALUD INDIVIDUAL"/>
    <s v="0098. SERVICIOS DE DIAGNOSTICO Y TRATAMIENTO"/>
    <s v="00001"/>
    <s v="0001468. VENTA DE MEDICINAS"/>
    <s v="00006 - ATENCION"/>
    <n v="500000"/>
    <n v="250000"/>
    <n v="0"/>
    <n v="0"/>
    <x v="39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7 . SUB CUENTA - RECURSOS DIRECTAMENTE RECAUDADOS"/>
    <n v="0"/>
    <n v="0"/>
    <n v="0"/>
    <n v="0"/>
    <n v="0"/>
    <n v="0"/>
    <n v="26630"/>
    <n v="46077.65"/>
    <n v="21711.3"/>
    <n v="21695.73"/>
    <n v="21696"/>
    <n v="26361"/>
    <n v="0"/>
    <n v="0"/>
    <n v="0"/>
    <n v="0"/>
    <n v="0"/>
    <n v="0"/>
    <n v="26630"/>
    <n v="46077.65"/>
    <n v="21711.3"/>
    <n v="21695.73"/>
    <n v="21696"/>
    <n v="26361"/>
    <n v="0"/>
    <n v="0"/>
    <n v="0"/>
    <n v="0"/>
    <n v="0"/>
    <n v="0"/>
    <n v="26488.95"/>
    <n v="40567.800000000003"/>
    <n v="24568.33"/>
    <n v="18984.080000000002"/>
    <n v="21430"/>
    <n v="29223.759999999998"/>
    <n v="0"/>
    <n v="0"/>
    <n v="0"/>
    <n v="0"/>
    <n v="0"/>
    <n v="0"/>
    <n v="26488.95"/>
    <n v="40567.800000000003"/>
    <n v="24568.33"/>
    <n v="18984.080000000002"/>
    <n v="21430"/>
    <n v="29223.759999999998"/>
    <n v="0"/>
    <n v="0"/>
    <n v="0"/>
    <n v="0"/>
    <n v="0"/>
    <x v="1"/>
    <x v="68"/>
    <x v="68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12"/>
    <n v="1000"/>
    <n v="0"/>
    <n v="0"/>
    <x v="49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7 . SUB CUENTA - RECURSOS DIRECTAMENTE RECAUDADOS"/>
    <n v="0"/>
    <n v="0"/>
    <n v="0"/>
    <n v="0"/>
    <n v="0"/>
    <n v="0"/>
    <n v="34150"/>
    <n v="33611.769999999997"/>
    <n v="0"/>
    <n v="0"/>
    <n v="0"/>
    <n v="0"/>
    <n v="0"/>
    <n v="0"/>
    <n v="0"/>
    <n v="0"/>
    <n v="0"/>
    <n v="0"/>
    <n v="34150"/>
    <n v="33611.769999999997"/>
    <n v="0"/>
    <n v="0"/>
    <n v="0"/>
    <n v="0"/>
    <n v="0"/>
    <n v="0"/>
    <n v="0"/>
    <n v="0"/>
    <n v="0"/>
    <n v="0"/>
    <n v="34107.949999999997"/>
    <n v="33653.29"/>
    <n v="0"/>
    <n v="0"/>
    <n v="0"/>
    <n v="0"/>
    <n v="0"/>
    <n v="0"/>
    <n v="0"/>
    <n v="0"/>
    <n v="0"/>
    <n v="0"/>
    <n v="34107.949999999997"/>
    <n v="33191.29"/>
    <n v="462"/>
    <n v="0"/>
    <n v="0"/>
    <n v="0"/>
    <n v="0"/>
    <n v="0"/>
    <n v="0"/>
    <n v="0"/>
    <n v="0"/>
    <x v="1"/>
    <x v="68"/>
    <x v="68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9. COMERCIALIZACION DE MEDICAMENTOS E INSUMOS"/>
    <s v="20. SALUD"/>
    <s v="044. SALUD INDIVIDUAL"/>
    <s v="0098. SERVICIOS DE DIAGNOSTICO Y TRATAMIENTO"/>
    <s v="00001"/>
    <s v="0001468. VENTA DE MEDICINAS"/>
    <s v="00006 - ATENCION"/>
    <n v="500000"/>
    <n v="250000"/>
    <n v="0"/>
    <n v="0"/>
    <x v="39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7 . SUB CUENTA - RECURSOS DIRECTAMENTE RECAUDADOS"/>
    <n v="0"/>
    <n v="0"/>
    <n v="0"/>
    <n v="0"/>
    <n v="0"/>
    <n v="0"/>
    <n v="2381"/>
    <n v="4060"/>
    <n v="1928.7"/>
    <n v="1928.7"/>
    <n v="1929"/>
    <n v="2065"/>
    <n v="0"/>
    <n v="0"/>
    <n v="0"/>
    <n v="0"/>
    <n v="0"/>
    <n v="0"/>
    <n v="2381"/>
    <n v="4060"/>
    <n v="1928.7"/>
    <n v="1928.7"/>
    <n v="1929"/>
    <n v="2065"/>
    <n v="0"/>
    <n v="0"/>
    <n v="0"/>
    <n v="0"/>
    <n v="0"/>
    <n v="0"/>
    <n v="2381"/>
    <n v="2030"/>
    <n v="2030"/>
    <n v="1928.7"/>
    <n v="1928.7"/>
    <n v="1929"/>
    <n v="0"/>
    <n v="0"/>
    <n v="0"/>
    <n v="0"/>
    <n v="0"/>
    <n v="0"/>
    <n v="2381"/>
    <n v="2030"/>
    <n v="2030"/>
    <n v="1928.7"/>
    <n v="1928.7"/>
    <n v="1929"/>
    <n v="0"/>
    <n v="0"/>
    <n v="0"/>
    <n v="0"/>
    <n v="0"/>
    <x v="1"/>
    <x v="69"/>
    <x v="69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12"/>
    <n v="1000"/>
    <n v="0"/>
    <n v="0"/>
    <x v="49"/>
    <s v="05. AYACUCHO"/>
    <s v="01. HUAMANGA"/>
    <s v="01. AYACUCHO"/>
    <x v="1"/>
    <s v="09. RECURSOS DIRECTAMENTE RECAUDADOS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7 . SUB CUENTA - RECURSOS DIRECTAMENTE RECAUDADOS"/>
    <n v="0"/>
    <n v="0"/>
    <n v="0"/>
    <n v="0"/>
    <n v="0"/>
    <n v="0"/>
    <n v="3074"/>
    <n v="2957"/>
    <n v="0"/>
    <n v="0"/>
    <n v="0"/>
    <n v="0"/>
    <n v="0"/>
    <n v="0"/>
    <n v="0"/>
    <n v="0"/>
    <n v="0"/>
    <n v="0"/>
    <n v="3074"/>
    <n v="2957"/>
    <n v="0"/>
    <n v="0"/>
    <n v="0"/>
    <n v="0"/>
    <n v="0"/>
    <n v="0"/>
    <n v="0"/>
    <n v="0"/>
    <n v="0"/>
    <n v="0"/>
    <n v="3074"/>
    <n v="2957"/>
    <n v="0"/>
    <n v="0"/>
    <n v="0"/>
    <n v="0"/>
    <n v="0"/>
    <n v="0"/>
    <n v="0"/>
    <n v="0"/>
    <n v="0"/>
    <n v="0"/>
    <n v="3074"/>
    <n v="2957"/>
    <n v="0"/>
    <n v="0"/>
    <n v="0"/>
    <n v="0"/>
    <n v="0"/>
    <n v="0"/>
    <n v="0"/>
    <n v="0"/>
    <n v="0"/>
    <x v="1"/>
    <x v="69"/>
    <x v="69"/>
    <x v="2"/>
    <x v="2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30000"/>
    <n v="75000"/>
    <n v="0"/>
    <n v="0"/>
    <x v="36"/>
    <s v="05. AYACUCHO"/>
    <s v="01. HUAMANGA"/>
    <s v="01. AYACUCHO"/>
    <x v="1"/>
    <s v="09. RECURSOS DIRECTAMENTE RECAUDADOS"/>
    <s v="6. GASTOS DE CAPITAL"/>
    <s v="2. GASTOS PRESUPUESTARIOS"/>
    <x v="3"/>
    <s v=" 3. ADQUISICION DE VEHICULOS, MAQUINARIAS Y OTROS"/>
    <s v=" 2. ADQUISICION DE MAQUINARIAS, EQUIPO Y MOBILIARIO"/>
    <s v=" 1. PARA OFICINA"/>
    <s v=" 2. MOBILIARIO"/>
    <s v="7 . SUB CUENTA - RECURSOS DIRECTAMENTE RECAUDADOS"/>
    <n v="0"/>
    <n v="0"/>
    <n v="0"/>
    <n v="0"/>
    <n v="0"/>
    <n v="0"/>
    <n v="0"/>
    <n v="0"/>
    <n v="0"/>
    <n v="0"/>
    <n v="0"/>
    <n v="3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8"/>
    <x v="98"/>
    <x v="2"/>
    <x v="3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30000"/>
    <n v="75000"/>
    <n v="0"/>
    <n v="0"/>
    <x v="36"/>
    <s v="05. AYACUCHO"/>
    <s v="01. HUAMANGA"/>
    <s v="01. AYACUCHO"/>
    <x v="1"/>
    <s v="09. RECURSOS DIRECTAMENTE RECAUDADOS"/>
    <s v="6. GASTOS DE CAPITAL"/>
    <s v="2. GASTOS PRESUPUESTARIOS"/>
    <x v="3"/>
    <s v=" 3. ADQUISICION DE VEHICULOS, MAQUINARIAS Y OTROS"/>
    <s v=" 2. ADQUISICION DE MAQUINARIAS, EQUIPO Y MOBILIARIO"/>
    <s v=" 9. ADQUISICION DE MAQUINARIA Y EQUIPO DIVERSOS"/>
    <s v=" 1. AIRE ACONDICIONADO Y REFRIGERACION"/>
    <s v="7 . SUB CUENTA - RECURSOS DIRECTAMENTE RECAUDADOS"/>
    <n v="0"/>
    <n v="0"/>
    <n v="0"/>
    <n v="0"/>
    <n v="0"/>
    <n v="0"/>
    <n v="0"/>
    <n v="0"/>
    <n v="0"/>
    <n v="0"/>
    <n v="0"/>
    <n v="26500"/>
    <n v="0"/>
    <n v="0"/>
    <n v="0"/>
    <n v="0"/>
    <n v="0"/>
    <n v="0"/>
    <n v="0"/>
    <n v="0"/>
    <n v="0"/>
    <n v="0"/>
    <n v="0"/>
    <n v="26500"/>
    <n v="0"/>
    <n v="0"/>
    <n v="0"/>
    <n v="0"/>
    <n v="0"/>
    <n v="0"/>
    <n v="0"/>
    <n v="0"/>
    <n v="0"/>
    <n v="0"/>
    <n v="0"/>
    <n v="26500"/>
    <n v="0"/>
    <n v="0"/>
    <n v="0"/>
    <n v="0"/>
    <n v="0"/>
    <n v="0"/>
    <n v="0"/>
    <n v="0"/>
    <n v="0"/>
    <n v="0"/>
    <n v="0"/>
    <n v="26500"/>
    <n v="0"/>
    <n v="0"/>
    <n v="0"/>
    <n v="0"/>
    <n v="0"/>
    <x v="1"/>
    <x v="101"/>
    <x v="101"/>
    <x v="2"/>
    <x v="3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1"/>
    <n v="1384"/>
    <n v="0"/>
    <n v="0"/>
    <x v="48"/>
    <s v="05. AYACUCHO"/>
    <s v="01. HUAMANGA"/>
    <s v="01. AYACUCHO"/>
    <x v="1"/>
    <s v="09. RECURSOS DIRECTAMENTE RECAUDADOS"/>
    <s v="6. GASTOS DE CAPITAL"/>
    <s v="2. GASTOS PRESUPUESTARIOS"/>
    <x v="3"/>
    <s v=" 3. ADQUISICION DE VEHICULOS, MAQUINARIAS Y OTROS"/>
    <s v=" 2. ADQUISICION DE MAQUINARIAS, EQUIPO Y MOBILIARIO"/>
    <s v=" 9. ADQUISICION DE MAQUINARIA Y EQUIPO DIVERSOS"/>
    <s v=" 2. ASEO,  LIMPIEZA Y COCINA"/>
    <s v="7 . SUB CUENTA - RECURSOS DIRECTAMENTE RECAUDADOS"/>
    <n v="0"/>
    <n v="0"/>
    <n v="0"/>
    <n v="0"/>
    <n v="0"/>
    <n v="0"/>
    <n v="0"/>
    <n v="0"/>
    <n v="0"/>
    <n v="0"/>
    <n v="2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102"/>
    <x v="102"/>
    <x v="2"/>
    <x v="3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1"/>
    <n v="1384"/>
    <n v="0"/>
    <n v="0"/>
    <x v="48"/>
    <s v="05. AYACUCHO"/>
    <s v="01. HUAMANGA"/>
    <s v="01. AYACUCHO"/>
    <x v="1"/>
    <s v="09. RECURSOS DIRECTAMENTE RECAUDADOS"/>
    <s v="6. GASTOS DE CAPITAL"/>
    <s v="2. GASTOS PRESUPUESTARIOS"/>
    <x v="3"/>
    <s v=" 3. ADQUISICION DE VEHICULOS, MAQUINARIAS Y OTROS"/>
    <s v=" 2. ADQUISICION DE MAQUINARIAS, EQUIPO Y MOBILIARIO"/>
    <s v=" 9. ADQUISICION DE MAQUINARIA Y EQUIPO DIVERSOS"/>
    <s v=" 5. EQUIPOS E INSTRUMENTOS DE MEDICION"/>
    <s v="7 . SUB CUENTA - RECURSOS DIRECTAMENTE RECAUDADOS"/>
    <n v="0"/>
    <n v="0"/>
    <n v="0"/>
    <n v="0"/>
    <n v="0"/>
    <n v="0"/>
    <n v="0"/>
    <n v="0"/>
    <n v="0"/>
    <n v="0"/>
    <n v="1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103"/>
    <x v="103"/>
    <x v="2"/>
    <x v="3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2491457."/>
    <s v="6.ACCION DE INVERSION"/>
    <s v="6000050. PREVENCIÓN, CONTROL, DIAGNÓSTICO Y TRATAMIENTO DE CORONAVIRUS"/>
    <s v="20. SALUD"/>
    <s v="043. SALUD COLECTIVA"/>
    <s v="0093. REGULACION Y CONTROL SANITARIO"/>
    <s v="00001"/>
    <s v="0290090. DIAGNOSTICO Y TRATAMIENTO DE CORONAVIRUS"/>
    <s v="00083 - PACIENTE ATENDIDO"/>
    <n v="1"/>
    <n v="1"/>
    <n v="0"/>
    <n v="0"/>
    <x v="133"/>
    <s v="05. AYACUCHO"/>
    <s v="01. HUAMANGA"/>
    <s v="01. AYACUCHO"/>
    <x v="1"/>
    <s v="09. RECURSOS DIRECTAMENTE RECAUDADOS"/>
    <s v="6. GASTOS DE CAPITAL"/>
    <s v="2. GASTOS PRESUPUESTARIOS"/>
    <x v="3"/>
    <s v=" 3. ADQUISICION DE VEHICULOS, MAQUINARIAS Y OTROS"/>
    <s v=" 2. ADQUISICION DE MAQUINARIAS, EQUIPO Y MOBILIARIO"/>
    <s v=" 9. ADQUISICION DE MAQUINARIA Y EQUIPO DIVERSOS"/>
    <s v="99. MAQUINARIAS, EQUIPOS Y MOBILIARIOS DE OTRAS INSTALACIONES"/>
    <s v="7 . SUB CUENTA - RECURSOS DIRECTAMENTE RECAUDADOS"/>
    <n v="0"/>
    <n v="0"/>
    <n v="0"/>
    <n v="0"/>
    <n v="0"/>
    <n v="0"/>
    <n v="0"/>
    <n v="0"/>
    <n v="0"/>
    <n v="1665000"/>
    <n v="0"/>
    <n v="0"/>
    <n v="0"/>
    <n v="0"/>
    <n v="0"/>
    <n v="0"/>
    <n v="0"/>
    <n v="0"/>
    <n v="0"/>
    <n v="0"/>
    <n v="0"/>
    <n v="0"/>
    <n v="1665000"/>
    <n v="0"/>
    <n v="0"/>
    <n v="0"/>
    <n v="0"/>
    <n v="0"/>
    <n v="0"/>
    <n v="0"/>
    <n v="0"/>
    <n v="0"/>
    <n v="0"/>
    <n v="0"/>
    <n v="0"/>
    <n v="1498500"/>
    <n v="0"/>
    <n v="0"/>
    <n v="0"/>
    <n v="0"/>
    <n v="0"/>
    <n v="0"/>
    <n v="0"/>
    <n v="0"/>
    <n v="0"/>
    <n v="0"/>
    <n v="0"/>
    <n v="1498500"/>
    <n v="0"/>
    <n v="0"/>
    <n v="0"/>
    <n v="0"/>
    <n v="0"/>
    <x v="1"/>
    <x v="104"/>
    <x v="104"/>
    <x v="2"/>
    <x v="3"/>
    <s v="RDR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2. ATENCION DE LA EMERGENCIA Y URGENCIA BASICA"/>
    <s v="20. SALUD"/>
    <s v="044. SALUD INDIVIDUAL"/>
    <s v="0096. ATENCION MEDICA BASICA"/>
    <s v="00001"/>
    <s v="0188298. ATENCION DE LA EMERGENCIA Y URGENCIA BASICA"/>
    <s v="00006 - ATENCION"/>
    <n v="100"/>
    <n v="50"/>
    <n v="1"/>
    <n v="1"/>
    <x v="41"/>
    <s v="05. AYACUCHO"/>
    <s v="01. HUAMANGA"/>
    <s v="01. AYACUCHO"/>
    <x v="2"/>
    <s v="13. DONACIONES Y TRANSFERENCIAS"/>
    <s v="5. GASTOS CORRIENTES"/>
    <s v="2. GASTOS PRESUPUESTARIOS"/>
    <x v="0"/>
    <s v=" 1. RETRIBUCIONES Y COMPLEMENTOS EN EFECTIVO"/>
    <s v=" 3. PERSONAL DE LA SALUD"/>
    <s v=" 1. PROFESIONALES DE LA SALUD"/>
    <s v=" 5. PERSONAL POR SERVICIOS COMPLEMENTARIOS DE SALUD"/>
    <s v="0 . NORMA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7"/>
    <x v="7"/>
    <x v="0"/>
    <x v="0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70."/>
    <s v="5.ACTIVIDAD"/>
    <s v="5000080. BRINDAR TRATAMIENTO OPORTUNO A MUJERES GESTANTES REACTIVAS Y NIÑOS EXPUESTOS AL VIH"/>
    <s v="20. SALUD"/>
    <s v="044. SALUD INDIVIDUAL"/>
    <s v="0096. ATENCION MEDICA BASICA"/>
    <s v="00001"/>
    <s v="0136039. BRINDAR TRATAMIENTO OPORTUNO A MUJERES GESTANTES REACTIVAS Y NIÑOS EXPUESTOS AL VIH"/>
    <s v="00207 - GESTANTE ATENDIDA"/>
    <n v="13"/>
    <n v="7"/>
    <n v="6"/>
    <n v="6"/>
    <x v="21"/>
    <s v="05. AYACUCHO"/>
    <s v="01. HUAMANGA"/>
    <s v="01. AYACUCHO"/>
    <x v="2"/>
    <s v="13. DONACIONES Y TRANSFERENCIAS"/>
    <s v="5. GASTOS CORRIENTES"/>
    <s v="2. GASTOS PRESUPUESTARIOS"/>
    <x v="2"/>
    <s v=" 1. COMPRA DE BIENES"/>
    <s v=" 1. ALIMENTOS Y BEBIDAS"/>
    <s v=" 1. ALIMENTOS Y BEBIDAS"/>
    <s v=" 1. ALIMENTOS Y BEBIDAS PARA CONSUMO HUMANO"/>
    <s v="0 . NORMAL"/>
    <n v="0"/>
    <n v="15000"/>
    <n v="15000"/>
    <n v="15000"/>
    <n v="1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21"/>
    <x v="21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2"/>
    <s v="13. DONACIONES Y TRANSFERENCIAS"/>
    <s v="5. GASTOS CORRIENTES"/>
    <s v="2. GASTOS PRESUPUESTARIOS"/>
    <x v="2"/>
    <s v=" 1. COMPRA DE BIENES"/>
    <s v=" 1. ALIMENTOS Y BEBIDAS"/>
    <s v=" 1. ALIMENTOS Y BEBIDAS"/>
    <s v=" 1. ALIMENTOS Y BEBIDAS PARA CONSUMO HUMANO"/>
    <s v="0 . NORMAL"/>
    <n v="0"/>
    <n v="152120"/>
    <n v="152120"/>
    <n v="149414.09"/>
    <n v="149414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21"/>
    <x v="21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801."/>
    <s v="5.ACTIVIDAD"/>
    <s v="5006279. SERVICIO DE TRANSPORTE ASISTIDO DE LA EMERGENCIA Y URGENCIA"/>
    <s v="20. SALUD"/>
    <s v="044. SALUD INDIVIDUAL"/>
    <s v="0096. ATENCION MEDICA BASICA"/>
    <s v="00001"/>
    <s v="0289988. SERVICIO DE TRANSPORTE ASISTIDO DE LA EMERGENCIA Y URGENCIA"/>
    <s v="00006 - ATENCION"/>
    <n v="500"/>
    <n v="250"/>
    <n v="57"/>
    <n v="57"/>
    <x v="65"/>
    <s v="05. AYACUCHO"/>
    <s v="01. HUAMANGA"/>
    <s v="01. AYACUCHO"/>
    <x v="2"/>
    <s v="13. DONACIONES Y TRANSFERENCIAS"/>
    <s v="5. GASTOS CORRIENTES"/>
    <s v="2. GASTOS PRESUPUESTARIOS"/>
    <x v="2"/>
    <s v=" 1. COMPRA DE BIENES"/>
    <s v=" 3. COMBUSTIBLES, CARBURANTES, LUBRICANTES Y AFINES"/>
    <s v=" 1. COMBUSTIBLES, CARBURANTES, LUBRICANTES Y AFINES"/>
    <s v=" 1. COMBUSTIBLES Y CARBURANTES"/>
    <s v="0 . NORMAL"/>
    <n v="0"/>
    <n v="111363"/>
    <n v="111363"/>
    <n v="88341.35"/>
    <n v="8834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25"/>
    <x v="25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2"/>
    <s v="13. DONACIONES Y TRANSFERENCIAS"/>
    <s v="5. GASTOS CORRIENTES"/>
    <s v="2. GASTOS PRESUPUESTARIOS"/>
    <x v="2"/>
    <s v=" 1. COMPRA DE BIENES"/>
    <s v=" 5. MATERIALES Y  UTILES"/>
    <s v=" 1. DE OFICINA"/>
    <s v=" 1. REPUESTOS Y ACCESORIOS"/>
    <s v="0 . NORMAL"/>
    <n v="0"/>
    <n v="235"/>
    <n v="235"/>
    <n v="235"/>
    <n v="2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76"/>
    <x v="76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2"/>
    <s v="13. DONACIONES Y TRANSFERENCIAS"/>
    <s v="5. GASTOS CORRIENTES"/>
    <s v="2. GASTOS PRESUPUESTARIOS"/>
    <x v="2"/>
    <s v=" 1. COMPRA DE BIENES"/>
    <s v=" 5. MATERIALES Y  UTILES"/>
    <s v=" 1. DE OFICINA"/>
    <s v=" 2. PAPELERIA EN GENERAL, UTILES Y MATERIALES DE OFICINA"/>
    <s v="0 . NORMAL"/>
    <n v="0"/>
    <n v="44524"/>
    <n v="44524"/>
    <n v="44523.31"/>
    <n v="44523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27"/>
    <x v="27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6."/>
    <s v="5.ACTIVIDAD"/>
    <s v="5000046. BRINDAR ATENCION DEL PARTO COMPLICADO NO QUIRURGICO"/>
    <s v="20. SALUD"/>
    <s v="044. SALUD INDIVIDUAL"/>
    <s v="0097. ATENCION MEDICA ESPECIALIZADA"/>
    <s v="00001"/>
    <s v="0033296. ATENCION DEL PARTO COMPLICADO NO QUIRURGICO"/>
    <s v="00209 - PARTO COMPLICADO"/>
    <n v="1420"/>
    <n v="710"/>
    <n v="443"/>
    <n v="443"/>
    <x v="12"/>
    <s v="05. AYACUCHO"/>
    <s v="01. HUAMANGA"/>
    <s v="01. AYACUCHO"/>
    <x v="2"/>
    <s v="13. DONACIONES Y TRANSFERENCIAS"/>
    <s v="5. GASTOS CORRIENTES"/>
    <s v="2. GASTOS PRESUPUESTARIOS"/>
    <x v="2"/>
    <s v=" 1. COMPRA DE BIENES"/>
    <s v=" 5. MATERIALES Y  UTILES"/>
    <s v=" 3. ASEO, LIMPIEZA Y COCINA"/>
    <s v=" 1. ASEO, LIMPIEZA Y TOCADOR"/>
    <s v="0 . NORMAL"/>
    <n v="0"/>
    <n v="41200"/>
    <n v="41200"/>
    <n v="40680.85"/>
    <n v="4068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28"/>
    <x v="28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6."/>
    <s v="5.ACTIVIDAD"/>
    <s v="5000054. ATENDER AL RECIEN NACIDO CON COMPLICACIONES"/>
    <s v="20. SALUD"/>
    <s v="044. SALUD INDIVIDUAL"/>
    <s v="0097. ATENCION MEDICA ESPECIALIZADA"/>
    <s v="00001"/>
    <s v="0033306. ATENCION DEL RECIEN NACIDO CON COMPLICACIONES"/>
    <s v="00016 - CASO TRATADO"/>
    <n v="2469"/>
    <n v="1234"/>
    <n v="728"/>
    <n v="728"/>
    <x v="18"/>
    <s v="05. AYACUCHO"/>
    <s v="01. HUAMANGA"/>
    <s v="01. AYACUCHO"/>
    <x v="2"/>
    <s v="13. DONACIONES Y TRANSFERENCIAS"/>
    <s v="5. GASTOS CORRIENTES"/>
    <s v="2. GASTOS PRESUPUESTARIOS"/>
    <x v="2"/>
    <s v=" 1. COMPRA DE BIENES"/>
    <s v=" 5. MATERIALES Y  UTILES"/>
    <s v=" 3. ASEO, LIMPIEZA Y COCINA"/>
    <s v=" 1. ASEO, LIMPIEZA Y TOCADOR"/>
    <s v="0 . NORMA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28"/>
    <x v="28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681."/>
    <s v="5.ACTIVIDAD"/>
    <s v="5006276. ATENCION ESTOMATOLOGICA RECUPERATIVA BASICA"/>
    <s v="20. SALUD"/>
    <s v="044. SALUD INDIVIDUAL"/>
    <s v="0096. ATENCION MEDICA BASICA"/>
    <s v="00001"/>
    <s v="0053295. ATENCION ESTOMATOLOGICA RECUPERATIVA BASICA"/>
    <s v="00394 - TECNICO"/>
    <n v="10352"/>
    <n v="5176"/>
    <n v="1014"/>
    <n v="1014"/>
    <x v="87"/>
    <s v="05. AYACUCHO"/>
    <s v="01. HUAMANGA"/>
    <s v="01. AYACUCHO"/>
    <x v="2"/>
    <s v="13. DONACIONES Y TRANSFERENCIAS"/>
    <s v="5. GASTOS CORRIENTES"/>
    <s v="2. GASTOS PRESUPUESTARIOS"/>
    <x v="2"/>
    <s v=" 1. COMPRA DE BIENES"/>
    <s v=" 5. MATERIALES Y  UTILES"/>
    <s v=" 3. ASEO, LIMPIEZA Y COCINA"/>
    <s v=" 1. ASEO, LIMPIEZA Y TOCADOR"/>
    <s v="0 . NORMAL"/>
    <n v="0"/>
    <n v="108897"/>
    <n v="108897"/>
    <n v="108896.95"/>
    <n v="10889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28"/>
    <x v="28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3. ATENCION DE LA EMERGENCIA Y URGENCIA ESPECIALIZADA"/>
    <s v="20. SALUD"/>
    <s v="044. SALUD INDIVIDUAL"/>
    <s v="0097. ATENCION MEDICA ESPECIALIZADA"/>
    <s v="00001"/>
    <s v="0188299. ATENCION DE LA EMERGENCIA Y URGENCIA ESPECIALIZADA"/>
    <s v="00006 - ATENCION"/>
    <n v="25000"/>
    <n v="12500"/>
    <n v="7470"/>
    <n v="7470"/>
    <x v="28"/>
    <s v="05. AYACUCHO"/>
    <s v="01. HUAMANGA"/>
    <s v="01. AYACUCHO"/>
    <x v="2"/>
    <s v="13. DONACIONES Y TRANSFERENCIAS"/>
    <s v="5. GASTOS CORRIENTES"/>
    <s v="2. GASTOS PRESUPUESTARIOS"/>
    <x v="2"/>
    <s v=" 1. COMPRA DE BIENES"/>
    <s v=" 5. MATERIALES Y  UTILES"/>
    <s v=" 3. ASEO, LIMPIEZA Y COCINA"/>
    <s v=" 1. ASEO, LIMPIEZA Y TOCADOR"/>
    <s v="0 . NORMAL"/>
    <n v="0"/>
    <n v="11000"/>
    <n v="11000"/>
    <n v="108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28"/>
    <x v="28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2"/>
    <s v="13. DONACIONES Y TRANSFERENCIAS"/>
    <s v="5. GASTOS CORRIENTES"/>
    <s v="2. GASTOS PRESUPUESTARIOS"/>
    <x v="2"/>
    <s v=" 1. COMPRA DE BIENES"/>
    <s v=" 5. MATERIALES Y  UTILES"/>
    <s v=" 3. ASEO, LIMPIEZA Y COCINA"/>
    <s v=" 1. ASEO, LIMPIEZA Y TOCADOR"/>
    <s v="0 . NORMAL"/>
    <n v="0"/>
    <n v="131765"/>
    <n v="131765"/>
    <n v="131764.70000000001"/>
    <n v="131764.7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28"/>
    <x v="28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0"/>
    <s v=" ."/>
    <s v="3000688."/>
    <s v="5.ACTIVIDAD"/>
    <s v="5005150. ATENCION DE REHABILITACION PARA PERSONAS CON DISCAPACIDAD FISICA"/>
    <s v="20. SALUD"/>
    <s v="044. SALUD INDIVIDUAL"/>
    <s v="0097. ATENCION MEDICA ESPECIALIZADA"/>
    <s v="00001"/>
    <s v="0136019. ATENCION DE REHABILITACION PARA PERSONAS CON DISCAPACIDAD FISICA"/>
    <s v="00087 - PERSONA ATENDIDA"/>
    <n v="12585"/>
    <n v="6293"/>
    <n v="9267"/>
    <n v="9267"/>
    <x v="98"/>
    <s v="05. AYACUCHO"/>
    <s v="01. HUAMANGA"/>
    <s v="01. AYACUCHO"/>
    <x v="2"/>
    <s v="13. DONACIONES Y TRANSFERENCIAS"/>
    <s v="5. GASTOS CORRIENTES"/>
    <s v="2. GASTOS PRESUPUESTARIOS"/>
    <x v="2"/>
    <s v=" 1. COMPRA DE BIENES"/>
    <s v=" 5. MATERIALES Y  UTILES"/>
    <s v=" 3. ASEO, LIMPIEZA Y COCINA"/>
    <s v=" 1. ASEO, LIMPIEZA Y TOCADOR"/>
    <s v="0 . NORMAL"/>
    <n v="0"/>
    <n v="33866"/>
    <n v="33866"/>
    <n v="33866"/>
    <n v="338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28"/>
    <x v="28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877."/>
    <s v="5.ACTIVIDAD"/>
    <s v="5000029. ATENDER A NIÑOS CON DIAGNOSTICO DE INFECCIONES RESPIRATORIAS AGUDAS CON COMPLICACIONES"/>
    <s v="20. SALUD"/>
    <s v="044. SALUD INDIVIDUAL"/>
    <s v="0097. ATENCION MEDICA ESPECIALIZADA"/>
    <s v="00001"/>
    <s v="0033313. ATENCION IRA CON COMPLICACIONES"/>
    <s v="00016 - CASO TRATADO"/>
    <n v="221"/>
    <n v="110"/>
    <n v="108"/>
    <n v="108"/>
    <x v="43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1. PRODUCTOS FARMACEUTICOS"/>
    <s v=" 2. MEDICAMENTOS"/>
    <s v="0 . NORMAL"/>
    <n v="0"/>
    <n v="20385"/>
    <n v="20385"/>
    <n v="19103.400000000001"/>
    <n v="19103.4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5"/>
    <x v="35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4."/>
    <s v="5.ACTIVIDAD"/>
    <s v="5000044. BRINDAR ATENCION A LA GESTANTE CON COMPLICACIONES"/>
    <s v="20. SALUD"/>
    <s v="044. SALUD INDIVIDUAL"/>
    <s v="0097. ATENCION MEDICA ESPECIALIZADA"/>
    <s v="00001"/>
    <s v="0033294. ATENCION DE LA GESTANTE CON COMPLICACIONES"/>
    <s v="00016 - CASO TRATADO"/>
    <n v="4100"/>
    <n v="2050"/>
    <n v="1830"/>
    <n v="1830"/>
    <x v="10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1. PRODUCTOS FARMACEUTICOS"/>
    <s v=" 2. MEDICAMENTOS"/>
    <s v="0 . NORMAL"/>
    <n v="0"/>
    <n v="7500"/>
    <n v="7500"/>
    <n v="5625"/>
    <n v="56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5"/>
    <x v="35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6."/>
    <s v="5.ACTIVIDAD"/>
    <s v="5000046. BRINDAR ATENCION DEL PARTO COMPLICADO NO QUIRURGICO"/>
    <s v="20. SALUD"/>
    <s v="044. SALUD INDIVIDUAL"/>
    <s v="0097. ATENCION MEDICA ESPECIALIZADA"/>
    <s v="00001"/>
    <s v="0033296. ATENCION DEL PARTO COMPLICADO NO QUIRURGICO"/>
    <s v="00209 - PARTO COMPLICADO"/>
    <n v="1420"/>
    <n v="710"/>
    <n v="443"/>
    <n v="443"/>
    <x v="12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1. PRODUCTOS FARMACEUTICOS"/>
    <s v=" 2. MEDICAMENTOS"/>
    <s v="0 . NORMAL"/>
    <n v="0"/>
    <n v="17050"/>
    <n v="17050"/>
    <n v="17036.8"/>
    <n v="1703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5"/>
    <x v="35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7."/>
    <s v="5.ACTIVIDAD"/>
    <s v="5000047. BRINDAR ATENCION DEL PARTO COMPLICADO QUIRURGICO"/>
    <s v="20. SALUD"/>
    <s v="044. SALUD INDIVIDUAL"/>
    <s v="0097. ATENCION MEDICA ESPECIALIZADA"/>
    <s v="00001"/>
    <s v="0033297. ATENCION DEL PARTO COMPLICADO QUIRURGICO"/>
    <s v="00210 - CESAREA"/>
    <n v="1550"/>
    <n v="775"/>
    <n v="747"/>
    <n v="747"/>
    <x v="13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1. PRODUCTOS FARMACEUTICOS"/>
    <s v=" 2. MEDICAMENTOS"/>
    <s v="0 . NORMAL"/>
    <n v="0"/>
    <n v="10860"/>
    <n v="10860"/>
    <n v="10136"/>
    <n v="101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5"/>
    <x v="35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6."/>
    <s v="5.ACTIVIDAD"/>
    <s v="5000054. ATENDER AL RECIEN NACIDO CON COMPLICACIONES"/>
    <s v="20. SALUD"/>
    <s v="044. SALUD INDIVIDUAL"/>
    <s v="0097. ATENCION MEDICA ESPECIALIZADA"/>
    <s v="00001"/>
    <s v="0033306. ATENCION DEL RECIEN NACIDO CON COMPLICACIONES"/>
    <s v="00016 - CASO TRATADO"/>
    <n v="2469"/>
    <n v="1234"/>
    <n v="728"/>
    <n v="728"/>
    <x v="18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1. PRODUCTOS FARMACEUTICOS"/>
    <s v=" 2. MEDICAMENTOS"/>
    <s v="0 . NORMAL"/>
    <n v="0"/>
    <n v="194715"/>
    <n v="194715"/>
    <n v="194710.3"/>
    <n v="1947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5"/>
    <x v="35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69."/>
    <s v="5.ACTIVIDAD"/>
    <s v="5000079. BRINDAR ATENCION INTEGRAL A PERSONAS CON DIAGNOSTICO DE VIH QUE ACUDEN A LOS SERVICIOS"/>
    <s v="20. SALUD"/>
    <s v="044. SALUD INDIVIDUAL"/>
    <s v="0096. ATENCION MEDICA BASICA"/>
    <s v="00001"/>
    <s v="0136038. BRINDAR ATENCION INTEGRAL A PERSONAS CON DIAGNOSTICO DE VIH QUE ACUDEN A LOS SERVICIOS"/>
    <s v="00087 - PERSONA ATENDIDA"/>
    <n v="34"/>
    <n v="17"/>
    <n v="30"/>
    <n v="30"/>
    <x v="75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1. PRODUCTOS FARMACEUTICOS"/>
    <s v=" 2. MEDICAMENTOS"/>
    <s v="0 . NORMAL"/>
    <n v="0"/>
    <n v="3540"/>
    <n v="3540"/>
    <n v="3273.92"/>
    <n v="3273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5"/>
    <x v="35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11"/>
    <s v=" ."/>
    <s v="3043983."/>
    <s v="5.ACTIVIDAD"/>
    <s v="5000093. EVALUACION, DIAGNOSTICO Y TRATAMIENTO DE ENFERMEDADES METAXENICAS"/>
    <s v="20. SALUD"/>
    <s v="044. SALUD INDIVIDUAL"/>
    <s v="0096. ATENCION MEDICA BASICA"/>
    <s v="00001"/>
    <s v="0043983. DIAGNOSTICO Y TRATAMIENTO DE ENFERMEDADES METAXENICAS"/>
    <s v="00394 - TECNICO"/>
    <n v="1379"/>
    <n v="689"/>
    <n v="198"/>
    <n v="198"/>
    <x v="46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1. PRODUCTOS FARMACEUTICOS"/>
    <s v=" 2. MEDICAMENTOS"/>
    <s v="0 . NORMAL"/>
    <n v="0"/>
    <n v="29000"/>
    <n v="29000"/>
    <n v="28145.7"/>
    <n v="2814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5"/>
    <x v="35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66."/>
    <s v="5.ACTIVIDAD"/>
    <s v="5006015. TRATAMIENTO DEL CANCER DE MAMA"/>
    <s v="20. SALUD"/>
    <s v="044. SALUD INDIVIDUAL"/>
    <s v="0097. ATENCION MEDICA ESPECIALIZADA"/>
    <s v="00001"/>
    <s v="0215088. TRATAMIENTO DEL CANCER DE MAMA"/>
    <s v="00394 - TECNICO"/>
    <n v="11"/>
    <n v="6"/>
    <n v="11"/>
    <n v="11"/>
    <x v="90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1. PRODUCTOS FARMACEUTICOS"/>
    <s v=" 2. MEDICAMENTOS"/>
    <s v="0 . NORMAL"/>
    <n v="0"/>
    <n v="10666"/>
    <n v="10666"/>
    <n v="2168"/>
    <n v="21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5"/>
    <x v="35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3. ATENCION DE LA EMERGENCIA Y URGENCIA ESPECIALIZADA"/>
    <s v="20. SALUD"/>
    <s v="044. SALUD INDIVIDUAL"/>
    <s v="0097. ATENCION MEDICA ESPECIALIZADA"/>
    <s v="00001"/>
    <s v="0188299. ATENCION DE LA EMERGENCIA Y URGENCIA ESPECIALIZADA"/>
    <s v="00006 - ATENCION"/>
    <n v="25000"/>
    <n v="12500"/>
    <n v="7470"/>
    <n v="7470"/>
    <x v="28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1. PRODUCTOS FARMACEUTICOS"/>
    <s v=" 2. MEDICAMENTOS"/>
    <s v="0 . NORMAL"/>
    <n v="0"/>
    <n v="16350"/>
    <n v="16350"/>
    <n v="15866.4"/>
    <n v="1586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5"/>
    <x v="35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5. ATENCION DE LA EMERGENCIA QUIRURGICA"/>
    <s v="20. SALUD"/>
    <s v="044. SALUD INDIVIDUAL"/>
    <s v="0097. ATENCION MEDICA ESPECIALIZADA"/>
    <s v="00001"/>
    <s v="0188301. ATENCION DE LA EMERGENCIA QUIRURGICA"/>
    <s v="00006 - ATENCION"/>
    <n v="3000"/>
    <n v="1500"/>
    <n v="1405"/>
    <n v="1405"/>
    <x v="30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1. PRODUCTOS FARMACEUTICOS"/>
    <s v=" 2. MEDICAMENTOS"/>
    <s v="0 . NORMAL"/>
    <n v="0"/>
    <n v="74880"/>
    <n v="74880"/>
    <n v="52507.1"/>
    <n v="5250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5"/>
    <x v="35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1. PRODUCTOS FARMACEUTICOS"/>
    <s v=" 2. MEDICAMENTOS"/>
    <s v="0 . NORMAL"/>
    <n v="0"/>
    <n v="660450"/>
    <n v="660450"/>
    <n v="649479.78"/>
    <n v="649479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5"/>
    <x v="35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2"/>
    <s v="0331977. AFILIACIÓN Y PRESTACIÓN DE SALUD PARA ASEGURAMIENTO UNIVERSAL"/>
    <s v="00006 - ATENCION"/>
    <n v="1"/>
    <n v="1"/>
    <n v="1"/>
    <n v="1"/>
    <x v="134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1. PRODUCTOS FARMACEUTICOS"/>
    <s v=" 2. MEDICAMENTOS"/>
    <s v="0 . NORMAL"/>
    <n v="0"/>
    <n v="100000"/>
    <n v="100000"/>
    <n v="30600"/>
    <n v="306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5"/>
    <x v="35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1. PRODUCTOS FARMACEUTICOS"/>
    <s v="99. OTROS PRODUCTOS SIMILARES"/>
    <s v="0 . NORMAL"/>
    <n v="0"/>
    <n v="51431"/>
    <n v="51431"/>
    <n v="51426.42"/>
    <n v="35705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80"/>
    <x v="80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876."/>
    <s v="5.ACTIVIDAD"/>
    <s v="5000027. ATENDER A NIÑOS CON INFECCIONES RESPIRATORIAS AGUDAS"/>
    <s v="20. SALUD"/>
    <s v="044. SALUD INDIVIDUAL"/>
    <s v="0096. ATENCION MEDICA BASICA"/>
    <s v="00001"/>
    <s v="0033311. ATENCION IRA"/>
    <s v="00016 - CASO TRATADO"/>
    <n v="3327"/>
    <n v="1663"/>
    <n v="751"/>
    <n v="751"/>
    <x v="66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78000"/>
    <n v="78000"/>
    <n v="48775"/>
    <n v="487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876."/>
    <s v="5.ACTIVIDAD"/>
    <s v="5000028. ATENDER A NIÑOS CON ENFERMEDADES DIARREICAS AGUDAS"/>
    <s v="20. SALUD"/>
    <s v="044. SALUD INDIVIDUAL"/>
    <s v="0096. ATENCION MEDICA BASICA"/>
    <s v="00001"/>
    <s v="0033312. ATENCION EDA"/>
    <s v="00016 - CASO TRATADO"/>
    <n v="1504"/>
    <n v="752"/>
    <n v="552"/>
    <n v="552"/>
    <x v="67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90000"/>
    <n v="90000"/>
    <n v="85018.01"/>
    <n v="40018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877."/>
    <s v="5.ACTIVIDAD"/>
    <s v="5000029. ATENDER A NIÑOS CON DIAGNOSTICO DE INFECCIONES RESPIRATORIAS AGUDAS CON COMPLICACIONES"/>
    <s v="20. SALUD"/>
    <s v="044. SALUD INDIVIDUAL"/>
    <s v="0097. ATENCION MEDICA ESPECIALIZADA"/>
    <s v="00001"/>
    <s v="0033313. ATENCION IRA CON COMPLICACIONES"/>
    <s v="00016 - CASO TRATADO"/>
    <n v="221"/>
    <n v="110"/>
    <n v="108"/>
    <n v="108"/>
    <x v="43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63615"/>
    <n v="63615"/>
    <n v="63613.93"/>
    <n v="5521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877."/>
    <s v="5.ACTIVIDAD"/>
    <s v="5000030. ATENDER A NIÑOS CON DIAGNOSTICO DE ENFERMEDAD DIARREICA AGUDA COMPLICADA"/>
    <s v="20. SALUD"/>
    <s v="044. SALUD INDIVIDUAL"/>
    <s v="0097. ATENCION MEDICA ESPECIALIZADA"/>
    <s v="00001"/>
    <s v="0033314. ATENCION EDA CON COMPLICACIONES"/>
    <s v="00016 - CASO TRATADO"/>
    <n v="48"/>
    <n v="24"/>
    <n v="20"/>
    <n v="20"/>
    <x v="68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85000"/>
    <n v="85000"/>
    <n v="79564.2"/>
    <n v="6288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878."/>
    <s v="5.ACTIVIDAD"/>
    <s v="5006270. BRINDAR ATENCION  A NIÑOS CON DIAGNOSTICO DE ANEMIA POR DEFICIENCIA DE  HIERRO"/>
    <s v="20. SALUD"/>
    <s v="044. SALUD INDIVIDUAL"/>
    <s v="0096. ATENCION MEDICA BASICA"/>
    <s v="00001"/>
    <s v="0289981. BRINDAR ATENCION A NIÑOS CON DIAGNOSTICO DE ANEMIA POR DEFICIENCIA DE HIERRO"/>
    <s v="00086 - PERSONA"/>
    <n v="242"/>
    <n v="121"/>
    <n v="83"/>
    <n v="83"/>
    <x v="69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65000"/>
    <n v="65000"/>
    <n v="37300"/>
    <n v="373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315."/>
    <s v="5.ACTIVIDAD"/>
    <s v="5000031. BRINDAR ATENCION A OTRAS ENFERMEDADES PREVALENTES"/>
    <s v="20. SALUD"/>
    <s v="044. SALUD INDIVIDUAL"/>
    <s v="0096. ATENCION MEDICA BASICA"/>
    <s v="00001"/>
    <s v="0033315. ATENCION DE OTRAS ENFERMEDADES PREVALENTES"/>
    <s v="00016 - CASO TRATADO"/>
    <n v="440"/>
    <n v="220"/>
    <n v="198"/>
    <n v="198"/>
    <x v="6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90000"/>
    <n v="90000"/>
    <n v="89960"/>
    <n v="543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414."/>
    <s v="5.ACTIVIDAD"/>
    <s v="5000035. ATENDER A NIÑOS Y NIÑAS CON DIAGNOSTICO DE PARASITOSIS INTESTINAL"/>
    <s v="20. SALUD"/>
    <s v="044. SALUD INDIVIDUAL"/>
    <s v="0096. ATENCION MEDICA BASICA"/>
    <s v="00001"/>
    <s v="0033414. ATENCION DE NIÑOS Y NIÑAS CON PARASITOSIS INTESTINAL"/>
    <s v="00016 - CASO TRATADO"/>
    <n v="750"/>
    <n v="375"/>
    <n v="322"/>
    <n v="322"/>
    <x v="81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58000"/>
    <n v="58000"/>
    <n v="57988.63"/>
    <n v="32045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4."/>
    <s v="5.ACTIVIDAD"/>
    <s v="5000044. BRINDAR ATENCION A LA GESTANTE CON COMPLICACIONES"/>
    <s v="20. SALUD"/>
    <s v="044. SALUD INDIVIDUAL"/>
    <s v="0097. ATENCION MEDICA ESPECIALIZADA"/>
    <s v="00001"/>
    <s v="0033294. ATENCION DE LA GESTANTE CON COMPLICACIONES"/>
    <s v="00016 - CASO TRATADO"/>
    <n v="4100"/>
    <n v="2050"/>
    <n v="1830"/>
    <n v="1830"/>
    <x v="10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175200"/>
    <n v="175200"/>
    <n v="171325.6"/>
    <n v="8802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6."/>
    <s v="5.ACTIVIDAD"/>
    <s v="5000046. BRINDAR ATENCION DEL PARTO COMPLICADO NO QUIRURGICO"/>
    <s v="20. SALUD"/>
    <s v="044. SALUD INDIVIDUAL"/>
    <s v="0097. ATENCION MEDICA ESPECIALIZADA"/>
    <s v="00001"/>
    <s v="0033296. ATENCION DEL PARTO COMPLICADO NO QUIRURGICO"/>
    <s v="00209 - PARTO COMPLICADO"/>
    <n v="1420"/>
    <n v="710"/>
    <n v="443"/>
    <n v="443"/>
    <x v="12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277578"/>
    <n v="277578"/>
    <n v="277373.68"/>
    <n v="132463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7."/>
    <s v="5.ACTIVIDAD"/>
    <s v="5000047. BRINDAR ATENCION DEL PARTO COMPLICADO QUIRURGICO"/>
    <s v="20. SALUD"/>
    <s v="044. SALUD INDIVIDUAL"/>
    <s v="0097. ATENCION MEDICA ESPECIALIZADA"/>
    <s v="00001"/>
    <s v="0033297. ATENCION DEL PARTO COMPLICADO QUIRURGICO"/>
    <s v="00210 - CESAREA"/>
    <n v="1550"/>
    <n v="775"/>
    <n v="747"/>
    <n v="747"/>
    <x v="13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271840"/>
    <n v="271840"/>
    <n v="271789.38"/>
    <n v="161002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9."/>
    <s v="5.ACTIVIDAD"/>
    <s v="5000049. ATENDER EL PUERPERIO CON COMPLICACIONES"/>
    <s v="20. SALUD"/>
    <s v="044. SALUD INDIVIDUAL"/>
    <s v="0097. ATENCION MEDICA ESPECIALIZADA"/>
    <s v="00001"/>
    <s v="0033299. ATENCION DEL PUERPERIO CON COMPLICACIONES"/>
    <s v="00016 - CASO TRATADO"/>
    <n v="240"/>
    <n v="120"/>
    <n v="94"/>
    <n v="94"/>
    <x v="15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52700"/>
    <n v="52700"/>
    <n v="52593.87"/>
    <n v="367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0."/>
    <s v="5.ACTIVIDAD"/>
    <s v="5000050. ATENDER COMPLICACIONES OBSTETRICAS EN UNIDAD DE CUIDADOS INTENSIVOS"/>
    <s v="20. SALUD"/>
    <s v="044. SALUD INDIVIDUAL"/>
    <s v="0097. ATENCION MEDICA ESPECIALIZADA"/>
    <s v="00001"/>
    <s v="0033300. ATENCION OBSTETRICA EN UNIDAD DE CUIDADOS INTENSIVOS"/>
    <s v="00016 - CASO TRATADO"/>
    <n v="68"/>
    <n v="34"/>
    <n v="16"/>
    <n v="16"/>
    <x v="16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495400"/>
    <n v="495400"/>
    <n v="462259.5"/>
    <n v="19167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6."/>
    <s v="5.ACTIVIDAD"/>
    <s v="5000054. ATENDER AL RECIEN NACIDO CON COMPLICACIONES"/>
    <s v="20. SALUD"/>
    <s v="044. SALUD INDIVIDUAL"/>
    <s v="0097. ATENCION MEDICA ESPECIALIZADA"/>
    <s v="00001"/>
    <s v="0033306. ATENCION DEL RECIEN NACIDO CON COMPLICACIONES"/>
    <s v="00016 - CASO TRATADO"/>
    <n v="2469"/>
    <n v="1234"/>
    <n v="728"/>
    <n v="728"/>
    <x v="18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170685"/>
    <n v="170685"/>
    <n v="169794.39"/>
    <n v="1203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7."/>
    <s v="5.ACTIVIDAD"/>
    <s v="5000055. ATENDER AL RECIEN NACIDO CON COMPLICACIONES QUE REQUIERE UNIDAD DE CUIDADOS INTENSIVOS NEONATALES - UCIN"/>
    <s v="20. SALUD"/>
    <s v="044. SALUD INDIVIDUAL"/>
    <s v="0097. ATENCION MEDICA ESPECIALIZADA"/>
    <s v="00001"/>
    <s v="0033307. ATENCION DEL RECIEN NACIDO CON COMPLICACIONES QUE REQUIERE UNIDAD DE CUIDADOS INTENSIVOS NEONATALES - UCIN"/>
    <s v="00016 - CASO TRATADO"/>
    <n v="1148"/>
    <n v="574"/>
    <n v="436"/>
    <n v="436"/>
    <x v="19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182700"/>
    <n v="182700"/>
    <n v="182563.07"/>
    <n v="1037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14."/>
    <s v="5.ACTIVIDAD"/>
    <s v="5004438. DIAGNOSTICO DE CASOS DE TUBERCULOSIS"/>
    <s v="20. SALUD"/>
    <s v="044. SALUD INDIVIDUAL"/>
    <s v="0096. ATENCION MEDICA BASICA"/>
    <s v="00001"/>
    <s v="0043964. DIAGNOSTICO DE CASOS DE TUBERCULOSIS"/>
    <s v="00393 - TASA"/>
    <n v="140"/>
    <n v="70"/>
    <n v="48"/>
    <n v="48"/>
    <x v="20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53000"/>
    <n v="53000"/>
    <n v="45710.78"/>
    <n v="37610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16."/>
    <s v="5.ACTIVIDAD"/>
    <s v="5004440. DESPISTAJE Y DIAGNOSTICO DE TUBERCULOSIS PARA PACIENTES CON COMORBILIDAD"/>
    <s v="20. SALUD"/>
    <s v="044. SALUD INDIVIDUAL"/>
    <s v="0097. ATENCION MEDICA ESPECIALIZADA"/>
    <s v="00001"/>
    <s v="0043973. DESPISTAJE Y DIAGNOSTICO DE TUBERCULOSIS PARA PACIENTES CON COMORBILIDAD"/>
    <s v="00087 - PERSONA ATENDIDA"/>
    <n v="559"/>
    <n v="279"/>
    <n v="103"/>
    <n v="103"/>
    <x v="73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50000"/>
    <n v="50000"/>
    <n v="42307.25"/>
    <n v="1265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72."/>
    <s v="5.ACTIVIDAD"/>
    <s v="5006272. BRINDAR TRATAMIENTO OPORTUNO PARA TUBERCULOSIS"/>
    <s v="20. SALUD"/>
    <s v="044. SALUD INDIVIDUAL"/>
    <s v="0096. ATENCION MEDICA BASICA"/>
    <s v="00001"/>
    <s v="0289983. BRINDAR TRATAMIENTO OPORTUNO PARA TUBERCULOSIS"/>
    <s v="00394 - TECNICO"/>
    <n v="15"/>
    <n v="8"/>
    <n v="4"/>
    <n v="4"/>
    <x v="96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50000"/>
    <n v="50000"/>
    <n v="4726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72."/>
    <s v="5.ACTIVIDAD"/>
    <s v="5006273. MANEJO DE LAS COMPLICACIONES DE TUBERCULOSIS"/>
    <s v="20. SALUD"/>
    <s v="044. SALUD INDIVIDUAL"/>
    <s v="0097. ATENCION MEDICA ESPECIALIZADA"/>
    <s v="00001"/>
    <s v="0289984. MANEJO DE LAS COMPLICACIONES DE TUBERCULOSIS"/>
    <s v="00087 - PERSONA ATENDIDA"/>
    <n v="65"/>
    <n v="33"/>
    <n v="19"/>
    <n v="19"/>
    <x v="102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40000"/>
    <n v="40000"/>
    <n v="39544"/>
    <n v="48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880."/>
    <s v="5.ACTIVIDAD"/>
    <s v="5005158. BRINDAR ATENCION INTEGRAL A PERSONAS CON DIAGNOSTICO DE HEPATITIS B"/>
    <s v="20. SALUD"/>
    <s v="044. SALUD INDIVIDUAL"/>
    <s v="0097. ATENCION MEDICA ESPECIALIZADA"/>
    <s v="00001"/>
    <s v="0136037. BRINDAR A PERSONAS CON DIAGNOSTICO DE HEPATITIS B CRONICA ATENCION INTEGRAL"/>
    <s v="00394 - TECNICO"/>
    <n v="370"/>
    <n v="185"/>
    <n v="938"/>
    <n v="938"/>
    <x v="104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50000"/>
    <n v="50000"/>
    <n v="49227.199999999997"/>
    <n v="122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880."/>
    <s v="5.ACTIVIDAD"/>
    <s v="5006274. BRINDAR ATENCION INTEGRAL A PERSONAS CON DIAGNOSTICO DE HEPATITIS C"/>
    <s v="20. SALUD"/>
    <s v="044. SALUD INDIVIDUAL"/>
    <s v="0097. ATENCION MEDICA ESPECIALIZADA"/>
    <s v="00001"/>
    <s v="0289985. BRINDAR ATENCION INTEGRAL A PERSONAS CON DIAGNOSTICO DE HEPATITIS C"/>
    <s v="00394 - TECNICO"/>
    <n v="245"/>
    <n v="123"/>
    <n v="12"/>
    <n v="12"/>
    <x v="99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50000"/>
    <n v="50000"/>
    <n v="499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69."/>
    <s v="5.ACTIVIDAD"/>
    <s v="5000079. BRINDAR ATENCION INTEGRAL A PERSONAS CON DIAGNOSTICO DE VIH QUE ACUDEN A LOS SERVICIOS"/>
    <s v="20. SALUD"/>
    <s v="044. SALUD INDIVIDUAL"/>
    <s v="0096. ATENCION MEDICA BASICA"/>
    <s v="00001"/>
    <s v="0136038. BRINDAR ATENCION INTEGRAL A PERSONAS CON DIAGNOSTICO DE VIH QUE ACUDEN A LOS SERVICIOS"/>
    <s v="00087 - PERSONA ATENDIDA"/>
    <n v="34"/>
    <n v="17"/>
    <n v="30"/>
    <n v="30"/>
    <x v="75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46460"/>
    <n v="46460"/>
    <n v="46406.91"/>
    <n v="4000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70."/>
    <s v="5.ACTIVIDAD"/>
    <s v="5000080. BRINDAR TRATAMIENTO OPORTUNO A MUJERES GESTANTES REACTIVAS Y NIÑOS EXPUESTOS AL VIH"/>
    <s v="20. SALUD"/>
    <s v="044. SALUD INDIVIDUAL"/>
    <s v="0096. ATENCION MEDICA BASICA"/>
    <s v="00001"/>
    <s v="0136039. BRINDAR TRATAMIENTO OPORTUNO A MUJERES GESTANTES REACTIVAS Y NIÑOS EXPUESTOS AL VIH"/>
    <s v="00207 - GESTANTE ATENDIDA"/>
    <n v="13"/>
    <n v="7"/>
    <n v="6"/>
    <n v="6"/>
    <x v="21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50000"/>
    <n v="50000"/>
    <n v="4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71."/>
    <s v="5.ACTIVIDAD"/>
    <s v="5000081. BRINDAR TRATAMIENTO OPORTUNO A MUJERES GESTANTES REACTIVAS A SIFILIS Y SUS CONTACTOS Y RECIEN NACIDOS EXPUESTOS"/>
    <s v="20. SALUD"/>
    <s v="044. SALUD INDIVIDUAL"/>
    <s v="0096. ATENCION MEDICA BASICA"/>
    <s v="00001"/>
    <s v="0136040. BRINDAR TRATAMIENTO OPORTUNO A MUJERES GESTANTES REACTIVAS A SIFILIS Y SUS CONTACTOS Y RECIEN NACIDOS EXPUESTOS"/>
    <s v="00207 - GESTANTE ATENDIDA"/>
    <n v="7"/>
    <n v="4"/>
    <n v="4"/>
    <n v="4"/>
    <x v="106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32000"/>
    <n v="32000"/>
    <n v="32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72."/>
    <s v="5.ACTIVIDAD"/>
    <s v="5000082. BRINDAR TRATAMIENTO OPORTUNO A PERSONAS QUE ACCEDEN AL EESS Y RECIBE TRATAMIENTO PARA TUBERCULOSIS EXTREMADAMENTE DROGO RESISTENTE (XDR)"/>
    <s v="20. SALUD"/>
    <s v="044. SALUD INDIVIDUAL"/>
    <s v="0097. ATENCION MEDICA ESPECIALIZADA"/>
    <s v="00001"/>
    <s v="0136041. BRINDAR TRATAMIENTO OPORTUNO A PERSONAS QUE ACCEDEN AL EESS Y RECIBE TRATAMIENTO PARA TUBERCULOSIS EXTREMADAMENTE DROGO RESISTENTE (XDR)"/>
    <s v="00394 - TECNICO"/>
    <n v="12"/>
    <n v="6"/>
    <n v="4"/>
    <n v="4"/>
    <x v="61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30000"/>
    <n v="30000"/>
    <n v="29925.38"/>
    <n v="3195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74."/>
    <s v="5.ACTIVIDAD"/>
    <s v="5000084. BRINDAR TRATAMIENTO PARA TUBERCULOSIS A PERSONAS CON COMORBILIDAD"/>
    <s v="20. SALUD"/>
    <s v="044. SALUD INDIVIDUAL"/>
    <s v="0097. ATENCION MEDICA ESPECIALIZADA"/>
    <s v="00001"/>
    <s v="0136042. BRINDAR TRATAMIENTO PARA TUBERCULOSIS A PERSONAS CON COMORBILIDAD"/>
    <s v="00394 - TECNICO"/>
    <n v="14"/>
    <n v="7"/>
    <n v="6"/>
    <n v="6"/>
    <x v="83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30000"/>
    <n v="30000"/>
    <n v="27601"/>
    <n v="2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11"/>
    <s v=" ."/>
    <s v="3043983."/>
    <s v="5.ACTIVIDAD"/>
    <s v="5000093. EVALUACION, DIAGNOSTICO Y TRATAMIENTO DE ENFERMEDADES METAXENICAS"/>
    <s v="20. SALUD"/>
    <s v="044. SALUD INDIVIDUAL"/>
    <s v="0096. ATENCION MEDICA BASICA"/>
    <s v="00001"/>
    <s v="0043983. DIAGNOSTICO Y TRATAMIENTO DE ENFERMEDADES METAXENICAS"/>
    <s v="00394 - TECNICO"/>
    <n v="1379"/>
    <n v="689"/>
    <n v="198"/>
    <n v="198"/>
    <x v="46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56000"/>
    <n v="56000"/>
    <n v="50684.7"/>
    <n v="2840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11"/>
    <s v=" ."/>
    <s v="3043984."/>
    <s v="5.ACTIVIDAD"/>
    <s v="5000094. EVALUACION, DIAGNOSTICO Y TRATAMIENTO DE CASOS DE ENFERMEDADES ZOONOTICAS"/>
    <s v="20. SALUD"/>
    <s v="044. SALUD INDIVIDUAL"/>
    <s v="0096. ATENCION MEDICA BASICA"/>
    <s v="00001"/>
    <s v="0043984. DIAGNOSTICO Y TRATAMIENTO DE CASOS DE ENFERMEDADES ZOONOTICAS"/>
    <s v="00394 - TECNICO"/>
    <n v="974"/>
    <n v="487"/>
    <n v="76"/>
    <n v="76"/>
    <x v="107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74257"/>
    <n v="74257"/>
    <n v="74254.2"/>
    <n v="2565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2."/>
    <s v="5.ACTIVIDAD"/>
    <s v="5000110. BRINDAR TRATAMIENTO A PACIENTES CON DIAGNOSTICO DE CATARATAS"/>
    <s v="20. SALUD"/>
    <s v="044. SALUD INDIVIDUAL"/>
    <s v="0097. ATENCION MEDICA ESPECIALIZADA"/>
    <s v="00001"/>
    <s v="0135994. BRINDAR TRATAMIENTO A PACIENTES CON DIAGNOSTICO DE CATARATAS"/>
    <s v="00394 - TECNICO"/>
    <n v="648"/>
    <n v="324"/>
    <n v="141"/>
    <n v="141"/>
    <x v="22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180000"/>
    <n v="180000"/>
    <n v="179966.17"/>
    <n v="17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6."/>
    <s v="5.ACTIVIDAD"/>
    <s v="5000114. BRINDAR TRATAMIENTO A PERSONAS CON DIAGNOSTICO DE HIPERTENSION ARTERIAL"/>
    <s v="20. SALUD"/>
    <s v="044. SALUD INDIVIDUAL"/>
    <s v="0097. ATENCION MEDICA ESPECIALIZADA"/>
    <s v="00001"/>
    <s v="0135998. BRINDAR TRATAMIENTO A PERSONAS CON DIAGNOSTICO DE HIPERTENSION ARTERIAL"/>
    <s v="00394 - TECNICO"/>
    <n v="771"/>
    <n v="385"/>
    <n v="382"/>
    <n v="382"/>
    <x v="23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153358"/>
    <n v="153358"/>
    <n v="152710"/>
    <n v="591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7."/>
    <s v="5.ACTIVIDAD"/>
    <s v="5000115. BRINDAR TRATAMIENTO A PERSONAS CON DIAGNOSTICO DE DIABETES MELLITUS"/>
    <s v="20. SALUD"/>
    <s v="044. SALUD INDIVIDUAL"/>
    <s v="0097. ATENCION MEDICA ESPECIALIZADA"/>
    <s v="00001"/>
    <s v="0135999. BRINDAR TRATAMIENTO A PERSONAS CON DIAGNOSTICO DE DIABETES MELLITUS"/>
    <s v="00394 - TECNICO"/>
    <n v="2385"/>
    <n v="1192"/>
    <n v="1378"/>
    <n v="1378"/>
    <x v="108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190000"/>
    <n v="190000"/>
    <n v="173900"/>
    <n v="339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681."/>
    <s v="5.ACTIVIDAD"/>
    <s v="5006276. ATENCION ESTOMATOLOGICA RECUPERATIVA BASICA"/>
    <s v="20. SALUD"/>
    <s v="044. SALUD INDIVIDUAL"/>
    <s v="0096. ATENCION MEDICA BASICA"/>
    <s v="00001"/>
    <s v="0053295. ATENCION ESTOMATOLOGICA RECUPERATIVA BASICA"/>
    <s v="00394 - TECNICO"/>
    <n v="10352"/>
    <n v="5176"/>
    <n v="1014"/>
    <n v="1014"/>
    <x v="87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317103"/>
    <n v="317103"/>
    <n v="277571.8"/>
    <n v="148427.14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812."/>
    <s v="5.ACTIVIDAD"/>
    <s v="5005992. BRINDAR TRATAMIENTO A NIÑOS PREMATUROS CON DIAGNOSTICO DE RETINOPATIA DE LA PREMATURIDAD (ROP)"/>
    <s v="20. SALUD"/>
    <s v="044. SALUD INDIVIDUAL"/>
    <s v="0097. ATENCION MEDICA ESPECIALIZADA"/>
    <s v="00001"/>
    <s v="0215302. BRINDAR TRATAMIENTO A NIÑOS PREMATUROS CON DIAGNOSTICO DE RETINOPATIA DE LA PREMATURIDAD (ROP)"/>
    <s v="00394 - TECNICO"/>
    <n v="24"/>
    <n v="12"/>
    <n v="12"/>
    <n v="12"/>
    <x v="77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191000"/>
    <n v="191000"/>
    <n v="190824.01"/>
    <n v="90478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814."/>
    <s v="5.ACTIVIDAD"/>
    <s v="5005994. BRINDAR TRATAMIENTO A PERSONAS CON DIAGNOSTICO DE GLAUCOMA"/>
    <s v="20. SALUD"/>
    <s v="044. SALUD INDIVIDUAL"/>
    <s v="0097. ATENCION MEDICA ESPECIALIZADA"/>
    <s v="00001"/>
    <s v="0215067. BRINDAR TRATAMIENTO A PERSONAS CON DIAGNOSTICO DE GLAUCOMA"/>
    <s v="00394 - TECNICO"/>
    <n v="130"/>
    <n v="65"/>
    <n v="36"/>
    <n v="36"/>
    <x v="110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200000"/>
    <n v="200000"/>
    <n v="189559"/>
    <n v="1895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65."/>
    <s v="5.ACTIVIDAD"/>
    <s v="5006012. DIAGNOSTICO DEL CANCER DE CUELLO UTERINO"/>
    <s v="20. SALUD"/>
    <s v="044. SALUD INDIVIDUAL"/>
    <s v="0097. ATENCION MEDICA ESPECIALIZADA"/>
    <s v="00001"/>
    <s v="0215085. DIAGNOSTICO DEL CANCER DE CUELLO UTERINO"/>
    <s v="00393 - TASA"/>
    <n v="128"/>
    <n v="64"/>
    <n v="17"/>
    <n v="17"/>
    <x v="25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25196"/>
    <n v="25196"/>
    <n v="21184"/>
    <n v="211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65."/>
    <s v="5.ACTIVIDAD"/>
    <s v="5006013. TRATAMIENTO DEL CANCER DE CUELLO UTERINO"/>
    <s v="20. SALUD"/>
    <s v="044. SALUD INDIVIDUAL"/>
    <s v="0097. ATENCION MEDICA ESPECIALIZADA"/>
    <s v="00001"/>
    <s v="0215086. TRATAMIENTO DEL CANCER DE CUELLO UTERINO"/>
    <s v="00394 - TECNICO"/>
    <n v="68"/>
    <n v="34"/>
    <n v="16"/>
    <n v="16"/>
    <x v="113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60000"/>
    <n v="60000"/>
    <n v="51802.5"/>
    <n v="277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66."/>
    <s v="5.ACTIVIDAD"/>
    <s v="5006014. DIAGNOSTICO DEL CANCER DE MAMA"/>
    <s v="20. SALUD"/>
    <s v="044. SALUD INDIVIDUAL"/>
    <s v="0097. ATENCION MEDICA ESPECIALIZADA"/>
    <s v="00001"/>
    <s v="0215087. DIAGNOSTICO DEL CANCER DE MAMA"/>
    <s v="00393 - TASA"/>
    <n v="48"/>
    <n v="14"/>
    <n v="12"/>
    <n v="12"/>
    <x v="114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3212"/>
    <n v="3212"/>
    <n v="3051.75"/>
    <n v="305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66."/>
    <s v="5.ACTIVIDAD"/>
    <s v="5006015. TRATAMIENTO DEL CANCER DE MAMA"/>
    <s v="20. SALUD"/>
    <s v="044. SALUD INDIVIDUAL"/>
    <s v="0097. ATENCION MEDICA ESPECIALIZADA"/>
    <s v="00001"/>
    <s v="0215088. TRATAMIENTO DEL CANCER DE MAMA"/>
    <s v="00394 - TECNICO"/>
    <n v="11"/>
    <n v="6"/>
    <n v="11"/>
    <n v="11"/>
    <x v="90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36999"/>
    <n v="36999"/>
    <n v="36896.400000000001"/>
    <n v="21936.4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67."/>
    <s v="5.ACTIVIDAD"/>
    <s v="5006016. DIAGNOSTICO DEL CANCER DE ESTOMAGO"/>
    <s v="20. SALUD"/>
    <s v="044. SALUD INDIVIDUAL"/>
    <s v="0097. ATENCION MEDICA ESPECIALIZADA"/>
    <s v="00001"/>
    <s v="0215089. DIAGNOSTICO DEL CANCER DE ESTOMAGO"/>
    <s v="00393 - TASA"/>
    <n v="93"/>
    <n v="46"/>
    <n v="16"/>
    <n v="16"/>
    <x v="115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24021"/>
    <n v="24021"/>
    <n v="24019.4"/>
    <n v="96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68."/>
    <s v="5.ACTIVIDAD"/>
    <s v="5006018. DIAGNOSTICO DEL CANCER DE PROSTATA"/>
    <s v="20. SALUD"/>
    <s v="044. SALUD INDIVIDUAL"/>
    <s v="0097. ATENCION MEDICA ESPECIALIZADA"/>
    <s v="00001"/>
    <s v="0215091. DIAGNOSTICO DEL CANCER DE PROSTATA"/>
    <s v="00393 - TASA"/>
    <n v="50"/>
    <n v="25"/>
    <n v="6"/>
    <n v="6"/>
    <x v="116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5193"/>
    <n v="5193"/>
    <n v="5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70."/>
    <s v="5.ACTIVIDAD"/>
    <s v="5006022. DIAGNOSTICO DEL CANCER DE COLON Y RECTO"/>
    <s v="20. SALUD"/>
    <s v="044. SALUD INDIVIDUAL"/>
    <s v="0097. ATENCION MEDICA ESPECIALIZADA"/>
    <s v="00001"/>
    <s v="0215095. DIAGNOSTICO DEL CANCER DE COLON Y RECTO"/>
    <s v="00393 - TASA"/>
    <n v="46"/>
    <n v="23"/>
    <n v="5"/>
    <n v="5"/>
    <x v="117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8931"/>
    <n v="8931"/>
    <n v="8812"/>
    <n v="88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72."/>
    <s v="5.ACTIVIDAD"/>
    <s v="5006026. DIAGNOSTICO DE LEUCEMIA"/>
    <s v="20. SALUD"/>
    <s v="044. SALUD INDIVIDUAL"/>
    <s v="0097. ATENCION MEDICA ESPECIALIZADA"/>
    <s v="00001"/>
    <s v="0215099. DIAGNOSTICO DE LEUCEMIA"/>
    <s v="00393 - TASA"/>
    <n v="31"/>
    <n v="15"/>
    <n v="2"/>
    <n v="2"/>
    <x v="94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94944"/>
    <n v="94944"/>
    <n v="86218.05"/>
    <n v="862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72."/>
    <s v="5.ACTIVIDAD"/>
    <s v="5006027. TRATAMIENTO DE LEUCEMIA"/>
    <s v="20. SALUD"/>
    <s v="044. SALUD INDIVIDUAL"/>
    <s v="0097. ATENCION MEDICA ESPECIALIZADA"/>
    <s v="00001"/>
    <s v="0215100. TRATAMIENTO DE LEUCEMIA"/>
    <s v="00394 - TECNICO"/>
    <n v="14"/>
    <n v="7"/>
    <n v="1"/>
    <n v="1"/>
    <x v="119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38000"/>
    <n v="38000"/>
    <n v="36886"/>
    <n v="368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73."/>
    <s v="5.ACTIVIDAD"/>
    <s v="5006028. DIAGNOSTICO DE LINFOMA"/>
    <s v="20. SALUD"/>
    <s v="044. SALUD INDIVIDUAL"/>
    <s v="0097. ATENCION MEDICA ESPECIALIZADA"/>
    <s v="00001"/>
    <s v="0215101. DIAGNOSTICO DE LINFOMA"/>
    <s v="00393 - TASA"/>
    <n v="19"/>
    <n v="9"/>
    <n v="1"/>
    <n v="1"/>
    <x v="120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11158"/>
    <n v="11158"/>
    <n v="4235"/>
    <n v="42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3. ATENCION DE LA EMERGENCIA Y URGENCIA ESPECIALIZADA"/>
    <s v="20. SALUD"/>
    <s v="044. SALUD INDIVIDUAL"/>
    <s v="0097. ATENCION MEDICA ESPECIALIZADA"/>
    <s v="00001"/>
    <s v="0188299. ATENCION DE LA EMERGENCIA Y URGENCIA ESPECIALIZADA"/>
    <s v="00006 - ATENCION"/>
    <n v="25000"/>
    <n v="12500"/>
    <n v="7470"/>
    <n v="7470"/>
    <x v="28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188279"/>
    <n v="188279"/>
    <n v="179004.74"/>
    <n v="95930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4. ATENCION DE LA EMERGENCIA DE CUIDADOS INTENSIVOS"/>
    <s v="20. SALUD"/>
    <s v="044. SALUD INDIVIDUAL"/>
    <s v="0097. ATENCION MEDICA ESPECIALIZADA"/>
    <s v="00001"/>
    <s v="0188300. ATENCION DE LA EMERGENCIA DE CUIDADOS INTENSIVOS"/>
    <s v="00006 - ATENCION"/>
    <n v="400"/>
    <n v="200"/>
    <n v="128"/>
    <n v="128"/>
    <x v="29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220000"/>
    <n v="220000"/>
    <n v="219104.78"/>
    <n v="61281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5. ATENCION DE LA EMERGENCIA QUIRURGICA"/>
    <s v="20. SALUD"/>
    <s v="044. SALUD INDIVIDUAL"/>
    <s v="0097. ATENCION MEDICA ESPECIALIZADA"/>
    <s v="00001"/>
    <s v="0188301. ATENCION DE LA EMERGENCIA QUIRURGICA"/>
    <s v="00006 - ATENCION"/>
    <n v="3000"/>
    <n v="1500"/>
    <n v="1405"/>
    <n v="1405"/>
    <x v="30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105120"/>
    <n v="105120"/>
    <n v="96937"/>
    <n v="656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10. ATENCION ESPECIALIZADA DE LA SALUD"/>
    <s v="20. SALUD"/>
    <s v="044. SALUD INDIVIDUAL"/>
    <s v="0097. ATENCION MEDICA ESPECIALIZADA"/>
    <s v="00001"/>
    <s v="0023484. ATENCION MEDICA ESPECIALIZADA"/>
    <s v="00006 - ATENCION"/>
    <n v="150000"/>
    <n v="75000"/>
    <n v="26347"/>
    <n v="26347"/>
    <x v="34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60652"/>
    <n v="60652"/>
    <n v="47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2584698"/>
    <n v="2584698"/>
    <n v="2393355.52"/>
    <n v="1832408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6. OTRAS ATENCIONES DE SALUD ESPECIALIZADAS"/>
    <s v="20. SALUD"/>
    <s v="044. SALUD INDIVIDUAL"/>
    <s v="0097. ATENCION MEDICA ESPECIALIZADA"/>
    <s v="00001"/>
    <s v="0023484. ATENCION MEDICA ESPECIALIZADA"/>
    <s v="00006 - ATENCION"/>
    <n v="25000"/>
    <n v="12500"/>
    <n v="11000"/>
    <n v="11000"/>
    <x v="38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64026"/>
    <n v="64026"/>
    <n v="64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0"/>
    <s v=" ."/>
    <s v="3000688."/>
    <s v="5.ACTIVIDAD"/>
    <s v="5005150. ATENCION DE REHABILITACION PARA PERSONAS CON DISCAPACIDAD FISICA"/>
    <s v="20. SALUD"/>
    <s v="044. SALUD INDIVIDUAL"/>
    <s v="0097. ATENCION MEDICA ESPECIALIZADA"/>
    <s v="00001"/>
    <s v="0136019. ATENCION DE REHABILITACION PARA PERSONAS CON DISCAPACIDAD FISICA"/>
    <s v="00087 - PERSONA ATENDIDA"/>
    <n v="12585"/>
    <n v="6293"/>
    <n v="9267"/>
    <n v="9267"/>
    <x v="98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76262"/>
    <n v="76262"/>
    <n v="76255.3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372. HEMODIÁLISIS POR INSUFICIENCIA RENAL"/>
    <s v="20. SALUD"/>
    <s v="044. SALUD INDIVIDUAL"/>
    <s v="0097. ATENCION MEDICA ESPECIALIZADA"/>
    <s v="00001"/>
    <s v="0023484. ATENCION MEDICA ESPECIALIZADA"/>
    <s v="00006 - ATENCION"/>
    <n v="168"/>
    <n v="84"/>
    <n v="12"/>
    <n v="12"/>
    <x v="135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24352"/>
    <n v="24352"/>
    <n v="241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2"/>
    <s v="0331977. AFILIACIÓN Y PRESTACIÓN DE SALUD PARA ASEGURAMIENTO UNIVERSAL"/>
    <s v="00006 - ATENCION"/>
    <n v="1"/>
    <n v="1"/>
    <n v="1"/>
    <n v="1"/>
    <x v="134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0 . NORMAL"/>
    <n v="0"/>
    <n v="565713"/>
    <n v="565713"/>
    <n v="50345"/>
    <n v="503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2768"/>
    <n v="1384"/>
    <n v="1400"/>
    <n v="1400"/>
    <x v="48"/>
    <s v="05. AYACUCHO"/>
    <s v="01. HUAMANGA"/>
    <s v="01. AYACUCHO"/>
    <x v="2"/>
    <s v="13. DONACIONES Y TRANSFERENCIAS"/>
    <s v="5. GASTOS CORRIENTES"/>
    <s v="2. GASTOS PRESUPUESTARIOS"/>
    <x v="2"/>
    <s v=" 1. COMPRA DE BIENES"/>
    <s v="99. COMPRA DE OTROS BIENES"/>
    <s v=" 1. COMPRA DE OTROS BIENES"/>
    <s v=" 5. ADQUISICIÓN DE BIENES PARA PRESTACIÓN FUNERARIA"/>
    <s v="0 . NORMAL"/>
    <n v="0"/>
    <n v="21390"/>
    <n v="21390"/>
    <n v="20137.599999999999"/>
    <n v="20137.5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105"/>
    <x v="105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65."/>
    <s v="5.ACTIVIDAD"/>
    <s v="5006012. DIAGNOSTICO DEL CANCER DE CUELLO UTERINO"/>
    <s v="20. SALUD"/>
    <s v="044. SALUD INDIVIDUAL"/>
    <s v="0097. ATENCION MEDICA ESPECIALIZADA"/>
    <s v="00001"/>
    <s v="0215085. DIAGNOSTICO DEL CANCER DE CUELLO UTERINO"/>
    <s v="00393 - TASA"/>
    <n v="128"/>
    <n v="64"/>
    <n v="17"/>
    <n v="17"/>
    <x v="25"/>
    <s v="05. AYACUCHO"/>
    <s v="01. HUAMANGA"/>
    <s v="01. AYACUCHO"/>
    <x v="2"/>
    <s v="13. DONACIONES Y TRANSFERENCIAS"/>
    <s v="5. GASTOS CORRIENTES"/>
    <s v="2. GASTOS PRESUPUESTARIOS"/>
    <x v="2"/>
    <s v=" 2. CONTRATACION DE SERVICIOS"/>
    <s v=" 1. VIAJES"/>
    <s v=" 2. VIAJES DOMESTICOS"/>
    <s v=" 1. PASAJES Y GASTOS DE TRANSPORTE"/>
    <s v="0 . NORMAL"/>
    <n v="0"/>
    <n v="4835"/>
    <n v="48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44"/>
    <x v="44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66."/>
    <s v="5.ACTIVIDAD"/>
    <s v="5006014. DIAGNOSTICO DEL CANCER DE MAMA"/>
    <s v="20. SALUD"/>
    <s v="044. SALUD INDIVIDUAL"/>
    <s v="0097. ATENCION MEDICA ESPECIALIZADA"/>
    <s v="00001"/>
    <s v="0215087. DIAGNOSTICO DEL CANCER DE MAMA"/>
    <s v="00393 - TASA"/>
    <n v="48"/>
    <n v="14"/>
    <n v="12"/>
    <n v="12"/>
    <x v="114"/>
    <s v="05. AYACUCHO"/>
    <s v="01. HUAMANGA"/>
    <s v="01. AYACUCHO"/>
    <x v="2"/>
    <s v="13. DONACIONES Y TRANSFERENCIAS"/>
    <s v="5. GASTOS CORRIENTES"/>
    <s v="2. GASTOS PRESUPUESTARIOS"/>
    <x v="2"/>
    <s v=" 2. CONTRATACION DE SERVICIOS"/>
    <s v=" 1. VIAJES"/>
    <s v=" 2. VIAJES DOMESTICOS"/>
    <s v=" 1. PASAJES Y GASTOS DE TRANSPORTE"/>
    <s v="0 . NORMAL"/>
    <n v="0"/>
    <n v="4836"/>
    <n v="48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44"/>
    <x v="44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72."/>
    <s v="5.ACTIVIDAD"/>
    <s v="5006026. DIAGNOSTICO DE LEUCEMIA"/>
    <s v="20. SALUD"/>
    <s v="044. SALUD INDIVIDUAL"/>
    <s v="0097. ATENCION MEDICA ESPECIALIZADA"/>
    <s v="00001"/>
    <s v="0215099. DIAGNOSTICO DE LEUCEMIA"/>
    <s v="00393 - TASA"/>
    <n v="31"/>
    <n v="15"/>
    <n v="2"/>
    <n v="2"/>
    <x v="94"/>
    <s v="05. AYACUCHO"/>
    <s v="01. HUAMANGA"/>
    <s v="01. AYACUCHO"/>
    <x v="2"/>
    <s v="13. DONACIONES Y TRANSFERENCIAS"/>
    <s v="5. GASTOS CORRIENTES"/>
    <s v="2. GASTOS PRESUPUESTARIOS"/>
    <x v="2"/>
    <s v=" 2. CONTRATACION DE SERVICIOS"/>
    <s v=" 1. VIAJES"/>
    <s v=" 2. VIAJES DOMESTICOS"/>
    <s v=" 1. PASAJES Y GASTOS DE TRANSPORTE"/>
    <s v="0 . NORMA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44"/>
    <x v="44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801."/>
    <s v="5.ACTIVIDAD"/>
    <s v="5006279. SERVICIO DE TRANSPORTE ASISTIDO DE LA EMERGENCIA Y URGENCIA"/>
    <s v="20. SALUD"/>
    <s v="044. SALUD INDIVIDUAL"/>
    <s v="0096. ATENCION MEDICA BASICA"/>
    <s v="00001"/>
    <s v="0289988. SERVICIO DE TRANSPORTE ASISTIDO DE LA EMERGENCIA Y URGENCIA"/>
    <s v="00006 - ATENCION"/>
    <n v="500"/>
    <n v="250"/>
    <n v="57"/>
    <n v="57"/>
    <x v="65"/>
    <s v="05. AYACUCHO"/>
    <s v="01. HUAMANGA"/>
    <s v="01. AYACUCHO"/>
    <x v="2"/>
    <s v="13. DONACIONES Y TRANSFERENCIAS"/>
    <s v="5. GASTOS CORRIENTES"/>
    <s v="2. GASTOS PRESUPUESTARIOS"/>
    <x v="2"/>
    <s v=" 2. CONTRATACION DE SERVICIOS"/>
    <s v=" 1. VIAJES"/>
    <s v=" 2. VIAJES DOMESTICOS"/>
    <s v=" 1. PASAJES Y GASTOS DE TRANSPORTE"/>
    <s v="0 . NORMAL"/>
    <n v="0"/>
    <n v="102335"/>
    <n v="102335"/>
    <n v="102334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44"/>
    <x v="44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0510. ATENCION ESPECIALIZADA DE LA SALUD"/>
    <s v="20. SALUD"/>
    <s v="044. SALUD INDIVIDUAL"/>
    <s v="0097. ATENCION MEDICA ESPECIALIZADA"/>
    <s v="00001"/>
    <s v="0023484. ATENCION MEDICA ESPECIALIZADA"/>
    <s v="00006 - ATENCION"/>
    <n v="150000"/>
    <n v="75000"/>
    <n v="26347"/>
    <n v="26347"/>
    <x v="34"/>
    <s v="05. AYACUCHO"/>
    <s v="01. HUAMANGA"/>
    <s v="01. AYACUCHO"/>
    <x v="2"/>
    <s v="13. DONACIONES Y TRANSFERENCIAS"/>
    <s v="5. GASTOS CORRIENTES"/>
    <s v="2. GASTOS PRESUPUESTARIOS"/>
    <x v="2"/>
    <s v=" 2. CONTRATACION DE SERVICIOS"/>
    <s v=" 1. VIAJES"/>
    <s v=" 2. VIAJES DOMESTICOS"/>
    <s v=" 1. PASAJES Y GASTOS DE TRANSPORTE"/>
    <s v="0 . NORMAL"/>
    <n v="0"/>
    <n v="2599"/>
    <n v="25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44"/>
    <x v="44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801."/>
    <s v="5.ACTIVIDAD"/>
    <s v="5006279. SERVICIO DE TRANSPORTE ASISTIDO DE LA EMERGENCIA Y URGENCIA"/>
    <s v="20. SALUD"/>
    <s v="044. SALUD INDIVIDUAL"/>
    <s v="0096. ATENCION MEDICA BASICA"/>
    <s v="00001"/>
    <s v="0289988. SERVICIO DE TRANSPORTE ASISTIDO DE LA EMERGENCIA Y URGENCIA"/>
    <s v="00006 - ATENCION"/>
    <n v="500"/>
    <n v="250"/>
    <n v="57"/>
    <n v="57"/>
    <x v="65"/>
    <s v="05. AYACUCHO"/>
    <s v="01. HUAMANGA"/>
    <s v="01. AYACUCHO"/>
    <x v="2"/>
    <s v="13. DONACIONES Y TRANSFERENCIAS"/>
    <s v="5. GASTOS CORRIENTES"/>
    <s v="2. GASTOS PRESUPUESTARIOS"/>
    <x v="2"/>
    <s v=" 2. CONTRATACION DE SERVICIOS"/>
    <s v=" 1. VIAJES"/>
    <s v=" 2. VIAJES DOMESTICOS"/>
    <s v=" 2. VIATICOS Y ASIGNACIONES POR COMISION DE SERVICIO"/>
    <s v="0 . NORMAL"/>
    <n v="0"/>
    <n v="111227"/>
    <n v="111227"/>
    <n v="69082"/>
    <n v="690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45"/>
    <x v="45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173. SEGURO INTEGRAL DE SALUD SEMISUBSIDIADO"/>
    <s v="20. SALUD"/>
    <s v="044. SALUD INDIVIDUAL"/>
    <s v="0097. ATENCION MEDICA ESPECIALIZADA"/>
    <s v="00001"/>
    <s v="0002088. SEGURO INTEGRAL DE SALUD"/>
    <s v="00006 - ATENCION"/>
    <n v="4"/>
    <n v="2"/>
    <n v="2"/>
    <n v="2"/>
    <x v="136"/>
    <s v="05. AYACUCHO"/>
    <s v="01. HUAMANGA"/>
    <s v="01. AYACUCHO"/>
    <x v="2"/>
    <s v="13. DONACIONES Y TRANSFERENCIAS"/>
    <s v="5. GASTOS CORRIENTES"/>
    <s v="2. GASTOS PRESUPUESTARIOS"/>
    <x v="2"/>
    <s v=" 2. CONTRATACION DE SERVICIOS"/>
    <s v=" 1. VIAJES"/>
    <s v=" 2. VIAJES DOMESTICOS"/>
    <s v=" 2. VIATICOS Y ASIGNACIONES POR COMISION DE SERVICIO"/>
    <s v="0 . NORMAL"/>
    <n v="0"/>
    <n v="43226"/>
    <n v="432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45"/>
    <x v="45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2"/>
    <s v="13. DONACIONES Y TRANSFERENCIAS"/>
    <s v="5. GASTOS CORRIENTES"/>
    <s v="2. GASTOS PRESUPUESTARIOS"/>
    <x v="2"/>
    <s v=" 2. CONTRATACION DE SERVICIOS"/>
    <s v=" 2. SERVICIOS BASICOS, COMUNICACIONES, PUBLICIDAD Y DIFUSION"/>
    <s v=" 3. SERVICIOS DE MENSAJERIA, TELECOMUNICACIONES Y OTROS AFINES"/>
    <s v=" 1. CORREOS Y SERVICIOS DE MENSAJERIA"/>
    <s v="0 . NORMAL"/>
    <n v="0"/>
    <n v="20000"/>
    <n v="20000"/>
    <n v="20000"/>
    <n v="2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51"/>
    <x v="51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2"/>
    <s v="13. DONACIONES Y TRANSFERENCIAS"/>
    <s v="5. GASTOS CORRIENTES"/>
    <s v="2. GASTOS PRESUPUESTARIOS"/>
    <x v="2"/>
    <s v=" 2. CONTRATACION DE SERVICIOS"/>
    <s v=" 6. SERVICIOS ADMINISTRATIVOS, FINANCIEROS Y DE SEGUROS"/>
    <s v=" 3. SEGUROS"/>
    <s v=" 3. SEGURO OBLIGATORIO ACCIDENTES DE TRANSITO (SOAT)"/>
    <s v="0 . NORMAL"/>
    <n v="0"/>
    <n v="700"/>
    <n v="700"/>
    <n v="700"/>
    <n v="7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106"/>
    <x v="106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801."/>
    <s v="5.ACTIVIDAD"/>
    <s v="5006279. SERVICIO DE TRANSPORTE ASISTIDO DE LA EMERGENCIA Y URGENCIA"/>
    <s v="20. SALUD"/>
    <s v="044. SALUD INDIVIDUAL"/>
    <s v="0096. ATENCION MEDICA BASICA"/>
    <s v="00001"/>
    <s v="0289988. SERVICIO DE TRANSPORTE ASISTIDO DE LA EMERGENCIA Y URGENCIA"/>
    <s v="00006 - ATENCION"/>
    <n v="500"/>
    <n v="250"/>
    <n v="57"/>
    <n v="57"/>
    <x v="65"/>
    <s v="05. AYACUCHO"/>
    <s v="01. HUAMANGA"/>
    <s v="01. AYACUCHO"/>
    <x v="2"/>
    <s v="13. DONACIONES Y TRANSFERENCIAS"/>
    <s v="5. GASTOS CORRIENTES"/>
    <s v="2. GASTOS PRESUPUESTARIOS"/>
    <x v="2"/>
    <s v=" 2. CONTRATACION DE SERVICIOS"/>
    <s v=" 7. SERVICIOS PROFESIONALES Y TECNICOS"/>
    <s v="11. OTROS SERVICIOS"/>
    <s v=" 2. TRANSPORTE Y TRASLADO DE CARGA, BIENES Y MATERIALES"/>
    <s v="0 . NORMAL"/>
    <n v="0"/>
    <n v="35000"/>
    <n v="35000"/>
    <n v="25605"/>
    <n v="86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64"/>
    <x v="64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2"/>
    <s v="13. DONACIONES Y TRANSFERENCIAS"/>
    <s v="5. GASTOS CORRIENTES"/>
    <s v="2. GASTOS PRESUPUESTARIOS"/>
    <x v="2"/>
    <s v=" 2. CONTRATACION DE SERVICIOS"/>
    <s v=" 7. SERVICIOS PROFESIONALES Y TECNICOS"/>
    <s v="11. OTROS SERVICIOS"/>
    <s v=" 6. SERVICIO DE IMPRESIONES, ENCUADERNACION Y EMPASTADO"/>
    <s v="0 . NORMAL"/>
    <n v="0"/>
    <n v="25286"/>
    <n v="25286"/>
    <n v="25286"/>
    <n v="252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66"/>
    <x v="66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2768"/>
    <n v="1384"/>
    <n v="1400"/>
    <n v="1400"/>
    <x v="48"/>
    <s v="05. AYACUCHO"/>
    <s v="01. HUAMANGA"/>
    <s v="01. AYACUCHO"/>
    <x v="2"/>
    <s v="13. DONACIONES Y TRANSFERENCIAS"/>
    <s v="5. GASTOS CORRIENTES"/>
    <s v="2. GASTOS PRESUPUESTARIOS"/>
    <x v="2"/>
    <s v=" 2. CONTRATACION DE SERVICIOS"/>
    <s v=" 7. SERVICIOS PROFESIONALES Y TECNICOS"/>
    <s v="11. OTROS SERVICIOS"/>
    <s v=" 7. PRESTACION FUNERARIA"/>
    <s v="0 . NORMAL"/>
    <n v="0"/>
    <n v="928358"/>
    <n v="928358"/>
    <n v="828539"/>
    <n v="785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107"/>
    <x v="107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2"/>
    <s v="13. DONACIONES Y TRANSFERENCIAS"/>
    <s v="5. GASTOS CORRIENTES"/>
    <s v="2. GASTOS PRESUPUESTARIOS"/>
    <x v="2"/>
    <s v=" 2. CONTRATACION DE SERVICIOS"/>
    <s v=" 9. LOCACIÓN DE SERVICIOS RELACIONADAS AL ROL DE LA ENTIDAD"/>
    <s v=" 1. LOCACIÓN DE SERVICIOS RELACIONADAS AL ROL DE LA ENTIDAD"/>
    <s v=" 1. LOCACIÓN DE SERVICIOS REALIZADOS POR PERSONAS NATURALES RELACIONADAS AL ROL DE LA ENTIDAD"/>
    <s v="0 . NORMAL"/>
    <n v="0"/>
    <n v="143845"/>
    <n v="143845"/>
    <n v="131250"/>
    <n v="1312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71"/>
    <x v="71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150000"/>
    <n v="75000"/>
    <n v="65000"/>
    <n v="65000"/>
    <x v="36"/>
    <s v="05. AYACUCHO"/>
    <s v="01. HUAMANGA"/>
    <s v="01. AYACUCHO"/>
    <x v="2"/>
    <s v="13. DONACIONES Y TRANSFERENCIAS"/>
    <s v="6. GASTOS DE CAPITAL"/>
    <s v="2. GASTOS PRESUPUESTARIOS"/>
    <x v="3"/>
    <s v=" 3. ADQUISICION DE VEHICULOS, MAQUINARIAS Y OTROS"/>
    <s v=" 2. ADQUISICION DE MAQUINARIAS, EQUIPO Y MOBILIARIO"/>
    <s v=" 3. ADQUISICION DE EQUIPOS INFORMATICOS Y DE COMUNICACIONES"/>
    <s v=" 1. EQUIPOS COMPUTACIONALES Y PERIFERICOS"/>
    <s v="0 . NORMAL"/>
    <n v="0"/>
    <n v="85900"/>
    <n v="85900"/>
    <n v="43133.84"/>
    <n v="18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72"/>
    <x v="72"/>
    <x v="2"/>
    <x v="3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70."/>
    <s v="5.ACTIVIDAD"/>
    <s v="5000080. BRINDAR TRATAMIENTO OPORTUNO A MUJERES GESTANTES REACTIVAS Y NIÑOS EXPUESTOS AL VIH"/>
    <s v="20. SALUD"/>
    <s v="044. SALUD INDIVIDUAL"/>
    <s v="0096. ATENCION MEDICA BASICA"/>
    <s v="00001"/>
    <s v="0136039. BRINDAR TRATAMIENTO OPORTUNO A MUJERES GESTANTES REACTIVAS Y NIÑOS EXPUESTOS AL VIH"/>
    <s v="00207 - GESTANTE ATENDIDA"/>
    <n v="12"/>
    <n v="7"/>
    <n v="0"/>
    <n v="0"/>
    <x v="21"/>
    <s v="05. AYACUCHO"/>
    <s v="01. HUAMANGA"/>
    <s v="01. AYACUCHO"/>
    <x v="2"/>
    <s v="13. DONACIONES Y TRANSFERENCIAS"/>
    <s v="5. GASTOS CORRIENTES"/>
    <s v="2. GASTOS PRESUPUESTARIOS"/>
    <x v="2"/>
    <s v=" 1. COMPRA DE BIENES"/>
    <s v=" 1. ALIMENTOS Y BEBIDAS"/>
    <s v=" 1. ALIMENTOS Y BEBIDAS"/>
    <s v=" 1. ALIMENTOS Y BEBIDAS PARA CONSUMO HUMANO"/>
    <s v="18. SUBCUENTA - TRANSFERENCIAS FINANCIERAS"/>
    <n v="0"/>
    <n v="0"/>
    <n v="0"/>
    <n v="0"/>
    <n v="0"/>
    <n v="0"/>
    <n v="0"/>
    <n v="0"/>
    <n v="10008"/>
    <n v="0"/>
    <n v="0"/>
    <n v="4992"/>
    <n v="0"/>
    <n v="0"/>
    <n v="0"/>
    <n v="0"/>
    <n v="0"/>
    <n v="0"/>
    <n v="0"/>
    <n v="0"/>
    <n v="10008"/>
    <n v="0"/>
    <n v="0"/>
    <n v="4992"/>
    <n v="0"/>
    <n v="0"/>
    <n v="0"/>
    <n v="0"/>
    <n v="0"/>
    <n v="0"/>
    <n v="0"/>
    <n v="0"/>
    <n v="0"/>
    <n v="10008"/>
    <n v="0"/>
    <n v="0"/>
    <n v="0"/>
    <n v="0"/>
    <n v="0"/>
    <n v="0"/>
    <n v="0"/>
    <n v="0"/>
    <n v="0"/>
    <n v="0"/>
    <n v="0"/>
    <n v="10008"/>
    <n v="0"/>
    <n v="0"/>
    <n v="0"/>
    <n v="0"/>
    <n v="0"/>
    <n v="0"/>
    <n v="0"/>
    <x v="2"/>
    <x v="21"/>
    <x v="21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30000"/>
    <n v="75000"/>
    <n v="0"/>
    <n v="0"/>
    <x v="36"/>
    <s v="05. AYACUCHO"/>
    <s v="01. HUAMANGA"/>
    <s v="01. AYACUCHO"/>
    <x v="2"/>
    <s v="13. DONACIONES Y TRANSFERENCIAS"/>
    <s v="5. GASTOS CORRIENTES"/>
    <s v="2. GASTOS PRESUPUESTARIOS"/>
    <x v="2"/>
    <s v=" 1. COMPRA DE BIENES"/>
    <s v=" 1. ALIMENTOS Y BEBIDAS"/>
    <s v=" 1. ALIMENTOS Y BEBIDAS"/>
    <s v=" 1. ALIMENTOS Y BEBIDAS PARA CONSUMO HUMANO"/>
    <s v="18. SUBCUENTA - TRANSFERENCIAS FINANCIERAS"/>
    <n v="0"/>
    <n v="0"/>
    <n v="0"/>
    <n v="0"/>
    <n v="0"/>
    <n v="0"/>
    <n v="0"/>
    <n v="39653.75"/>
    <n v="23863.67"/>
    <n v="9351.5"/>
    <n v="28366.92"/>
    <n v="11837.96"/>
    <n v="0"/>
    <n v="0"/>
    <n v="0"/>
    <n v="0"/>
    <n v="0"/>
    <n v="0"/>
    <n v="0"/>
    <n v="9401"/>
    <n v="54116.42"/>
    <n v="0"/>
    <n v="37718.42"/>
    <n v="3289.21"/>
    <n v="0"/>
    <n v="0"/>
    <n v="0"/>
    <n v="0"/>
    <n v="0"/>
    <n v="0"/>
    <n v="0"/>
    <n v="9401"/>
    <n v="35145.42"/>
    <n v="18971"/>
    <n v="37718.42"/>
    <n v="0"/>
    <n v="0"/>
    <n v="0"/>
    <n v="0"/>
    <n v="0"/>
    <n v="0"/>
    <n v="0"/>
    <n v="0"/>
    <n v="9401"/>
    <n v="35145.42"/>
    <n v="18971"/>
    <n v="37718.42"/>
    <n v="0"/>
    <n v="0"/>
    <n v="0"/>
    <n v="0"/>
    <n v="0"/>
    <n v="0"/>
    <x v="2"/>
    <x v="21"/>
    <x v="21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801."/>
    <s v="5.ACTIVIDAD"/>
    <s v="5006279. SERVICIO DE TRANSPORTE ASISTIDO DE LA EMERGENCIA Y URGENCIA"/>
    <s v="20. SALUD"/>
    <s v="044. SALUD INDIVIDUAL"/>
    <s v="0096. ATENCION MEDICA BASICA"/>
    <s v="00001"/>
    <s v="0289988. SERVICIO DE TRANSPORTE ASISTIDO DE LA EMERGENCIA Y URGENCIA"/>
    <s v="00006 - ATENCION"/>
    <n v="50"/>
    <n v="250"/>
    <n v="0"/>
    <n v="0"/>
    <x v="65"/>
    <s v="05. AYACUCHO"/>
    <s v="01. HUAMANGA"/>
    <s v="01. AYACUCHO"/>
    <x v="2"/>
    <s v="13. DONACIONES Y TRANSFERENCIAS"/>
    <s v="5. GASTOS CORRIENTES"/>
    <s v="2. GASTOS PRESUPUESTARIOS"/>
    <x v="2"/>
    <s v=" 1. COMPRA DE BIENES"/>
    <s v=" 3. COMBUSTIBLES, CARBURANTES, LUBRICANTES Y AFINES"/>
    <s v=" 1. COMBUSTIBLES, CARBURANTES, LUBRICANTES Y AFINES"/>
    <s v=" 1. COMBUSTIBLES Y CARBURANTES"/>
    <s v="18. SUBCUENTA - TRANSFERENCIAS FINANCIERAS"/>
    <n v="0"/>
    <n v="0"/>
    <n v="0"/>
    <n v="0"/>
    <n v="0"/>
    <n v="0"/>
    <n v="0"/>
    <n v="0"/>
    <n v="4574.5"/>
    <n v="0"/>
    <n v="3332.85"/>
    <n v="0"/>
    <n v="0"/>
    <n v="0"/>
    <n v="0"/>
    <n v="0"/>
    <n v="0"/>
    <n v="0"/>
    <n v="0"/>
    <n v="0"/>
    <n v="4574.5"/>
    <n v="0"/>
    <n v="3332.85"/>
    <n v="0"/>
    <n v="0"/>
    <n v="0"/>
    <n v="0"/>
    <n v="0"/>
    <n v="0"/>
    <n v="0"/>
    <n v="0"/>
    <n v="0"/>
    <n v="0"/>
    <n v="4574.5"/>
    <n v="0"/>
    <n v="3332.85"/>
    <n v="0"/>
    <n v="0"/>
    <n v="0"/>
    <n v="0"/>
    <n v="0"/>
    <n v="0"/>
    <n v="0"/>
    <n v="0"/>
    <n v="0"/>
    <n v="4574.5"/>
    <n v="0"/>
    <n v="3332.85"/>
    <n v="0"/>
    <n v="0"/>
    <n v="0"/>
    <n v="0"/>
    <n v="0"/>
    <x v="2"/>
    <x v="25"/>
    <x v="25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30000"/>
    <n v="75000"/>
    <n v="0"/>
    <n v="0"/>
    <x v="36"/>
    <s v="05. AYACUCHO"/>
    <s v="01. HUAMANGA"/>
    <s v="01. AYACUCHO"/>
    <x v="2"/>
    <s v="13. DONACIONES Y TRANSFERENCIAS"/>
    <s v="5. GASTOS CORRIENTES"/>
    <s v="2. GASTOS PRESUPUESTARIOS"/>
    <x v="2"/>
    <s v=" 1. COMPRA DE BIENES"/>
    <s v=" 5. MATERIALES Y  UTILES"/>
    <s v=" 1. DE OFICINA"/>
    <s v=" 1. REPUESTOS Y ACCESORIOS"/>
    <s v="18. SUBCUENTA - TRANSFERENCIAS FINANCIERAS"/>
    <n v="0"/>
    <n v="0"/>
    <n v="0"/>
    <n v="0"/>
    <n v="0"/>
    <n v="0"/>
    <n v="0"/>
    <n v="0"/>
    <n v="235"/>
    <n v="0"/>
    <n v="0"/>
    <n v="0"/>
    <n v="0"/>
    <n v="0"/>
    <n v="0"/>
    <n v="0"/>
    <n v="0"/>
    <n v="0"/>
    <n v="0"/>
    <n v="0"/>
    <n v="0"/>
    <n v="235"/>
    <n v="0"/>
    <n v="0"/>
    <n v="0"/>
    <n v="0"/>
    <n v="0"/>
    <n v="0"/>
    <n v="0"/>
    <n v="0"/>
    <n v="0"/>
    <n v="0"/>
    <n v="0"/>
    <n v="235"/>
    <n v="0"/>
    <n v="0"/>
    <n v="0"/>
    <n v="0"/>
    <n v="0"/>
    <n v="0"/>
    <n v="0"/>
    <n v="0"/>
    <n v="0"/>
    <n v="0"/>
    <n v="0"/>
    <n v="235"/>
    <n v="0"/>
    <n v="0"/>
    <n v="0"/>
    <n v="0"/>
    <n v="0"/>
    <n v="0"/>
    <n v="0"/>
    <x v="2"/>
    <x v="76"/>
    <x v="76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30000"/>
    <n v="75000"/>
    <n v="0"/>
    <n v="0"/>
    <x v="36"/>
    <s v="05. AYACUCHO"/>
    <s v="01. HUAMANGA"/>
    <s v="01. AYACUCHO"/>
    <x v="2"/>
    <s v="13. DONACIONES Y TRANSFERENCIAS"/>
    <s v="5. GASTOS CORRIENTES"/>
    <s v="2. GASTOS PRESUPUESTARIOS"/>
    <x v="2"/>
    <s v=" 1. COMPRA DE BIENES"/>
    <s v=" 5. MATERIALES Y  UTILES"/>
    <s v=" 1. DE OFICINA"/>
    <s v=" 2. PAPELERIA EN GENERAL, UTILES Y MATERIALES DE OFICINA"/>
    <s v="18. SUBCUENTA - TRANSFERENCIAS FINANCIERAS"/>
    <n v="0"/>
    <n v="0"/>
    <n v="0"/>
    <n v="0"/>
    <n v="0"/>
    <n v="0"/>
    <n v="0"/>
    <n v="42580.59"/>
    <n v="65"/>
    <n v="1877.72"/>
    <n v="0"/>
    <n v="0"/>
    <n v="0"/>
    <n v="0"/>
    <n v="0"/>
    <n v="0"/>
    <n v="0"/>
    <n v="0"/>
    <n v="0"/>
    <n v="0"/>
    <n v="42580.59"/>
    <n v="65"/>
    <n v="1877.72"/>
    <n v="0"/>
    <n v="0"/>
    <n v="0"/>
    <n v="0"/>
    <n v="0"/>
    <n v="0"/>
    <n v="0"/>
    <n v="0"/>
    <n v="0"/>
    <n v="0"/>
    <n v="42645.59"/>
    <n v="1877.72"/>
    <n v="0"/>
    <n v="0"/>
    <n v="0"/>
    <n v="0"/>
    <n v="0"/>
    <n v="0"/>
    <n v="0"/>
    <n v="0"/>
    <n v="0"/>
    <n v="0"/>
    <n v="42645.59"/>
    <n v="1877.72"/>
    <n v="0"/>
    <n v="0"/>
    <n v="0"/>
    <n v="0"/>
    <n v="0"/>
    <n v="0"/>
    <x v="2"/>
    <x v="27"/>
    <x v="27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6."/>
    <s v="5.ACTIVIDAD"/>
    <s v="5000046. BRINDAR ATENCION DEL PARTO COMPLICADO NO QUIRURGICO"/>
    <s v="20. SALUD"/>
    <s v="044. SALUD INDIVIDUAL"/>
    <s v="0097. ATENCION MEDICA ESPECIALIZADA"/>
    <s v="00001"/>
    <s v="0033296. ATENCION DEL PARTO COMPLICADO NO QUIRURGICO"/>
    <s v="00209 - PARTO COMPLICADO"/>
    <n v="1420"/>
    <n v="710"/>
    <n v="0"/>
    <n v="0"/>
    <x v="12"/>
    <s v="05. AYACUCHO"/>
    <s v="01. HUAMANGA"/>
    <s v="01. AYACUCHO"/>
    <x v="2"/>
    <s v="13. DONACIONES Y TRANSFERENCIAS"/>
    <s v="5. GASTOS CORRIENTES"/>
    <s v="2. GASTOS PRESUPUESTARIOS"/>
    <x v="2"/>
    <s v=" 1. COMPRA DE BIENES"/>
    <s v=" 5. MATERIALES Y  UTILES"/>
    <s v=" 3. ASEO, LIMPIEZA Y COCINA"/>
    <s v=" 1. ASEO, LIMPIEZA Y TOCADOR"/>
    <s v="18. SUBCUENTA - TRANSFERENCIAS FINANCIERAS"/>
    <n v="0"/>
    <n v="0"/>
    <n v="0"/>
    <n v="0"/>
    <n v="0"/>
    <n v="0"/>
    <n v="0"/>
    <n v="0"/>
    <n v="0"/>
    <n v="0"/>
    <n v="40680.85"/>
    <n v="0"/>
    <n v="0"/>
    <n v="0"/>
    <n v="0"/>
    <n v="0"/>
    <n v="0"/>
    <n v="0"/>
    <n v="0"/>
    <n v="0"/>
    <n v="0"/>
    <n v="0"/>
    <n v="40680.85"/>
    <n v="0"/>
    <n v="0"/>
    <n v="0"/>
    <n v="0"/>
    <n v="0"/>
    <n v="0"/>
    <n v="0"/>
    <n v="0"/>
    <n v="0"/>
    <n v="0"/>
    <n v="0"/>
    <n v="0"/>
    <n v="40680.85"/>
    <n v="0"/>
    <n v="0"/>
    <n v="0"/>
    <n v="0"/>
    <n v="0"/>
    <n v="0"/>
    <n v="0"/>
    <n v="0"/>
    <n v="0"/>
    <n v="0"/>
    <n v="0"/>
    <n v="40680.85"/>
    <n v="0"/>
    <n v="0"/>
    <n v="0"/>
    <n v="0"/>
    <n v="0"/>
    <x v="2"/>
    <x v="28"/>
    <x v="28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681."/>
    <s v="5.ACTIVIDAD"/>
    <s v="5006276. ATENCION ESTOMATOLOGICA RECUPERATIVA BASICA"/>
    <s v="20. SALUD"/>
    <s v="044. SALUD INDIVIDUAL"/>
    <s v="0096. ATENCION MEDICA BASICA"/>
    <s v="00001"/>
    <s v="0053295. ATENCION ESTOMATOLOGICA RECUPERATIVA BASICA"/>
    <s v="00394 - TECNICO"/>
    <n v="50"/>
    <n v="5176"/>
    <n v="0"/>
    <n v="0"/>
    <x v="87"/>
    <s v="05. AYACUCHO"/>
    <s v="01. HUAMANGA"/>
    <s v="01. AYACUCHO"/>
    <x v="2"/>
    <s v="13. DONACIONES Y TRANSFERENCIAS"/>
    <s v="5. GASTOS CORRIENTES"/>
    <s v="2. GASTOS PRESUPUESTARIOS"/>
    <x v="2"/>
    <s v=" 1. COMPRA DE BIENES"/>
    <s v=" 5. MATERIALES Y  UTILES"/>
    <s v=" 3. ASEO, LIMPIEZA Y COCINA"/>
    <s v=" 1. ASEO, LIMPIEZA Y TOCADOR"/>
    <s v="18. SUBCUENTA - TRANSFERENCIAS FINANCIERAS"/>
    <n v="0"/>
    <n v="0"/>
    <n v="0"/>
    <n v="0"/>
    <n v="0"/>
    <n v="0"/>
    <n v="0"/>
    <n v="108896.95"/>
    <n v="0"/>
    <n v="0"/>
    <n v="0"/>
    <n v="0"/>
    <n v="0"/>
    <n v="0"/>
    <n v="0"/>
    <n v="0"/>
    <n v="0"/>
    <n v="0"/>
    <n v="0"/>
    <n v="0"/>
    <n v="108896.95"/>
    <n v="0"/>
    <n v="0"/>
    <n v="0"/>
    <n v="0"/>
    <n v="0"/>
    <n v="0"/>
    <n v="0"/>
    <n v="0"/>
    <n v="0"/>
    <n v="0"/>
    <n v="0"/>
    <n v="0"/>
    <n v="108896.95"/>
    <n v="0"/>
    <n v="0"/>
    <n v="0"/>
    <n v="0"/>
    <n v="0"/>
    <n v="0"/>
    <n v="0"/>
    <n v="0"/>
    <n v="0"/>
    <n v="0"/>
    <n v="0"/>
    <n v="108896.95"/>
    <n v="0"/>
    <n v="0"/>
    <n v="0"/>
    <n v="0"/>
    <n v="0"/>
    <n v="0"/>
    <n v="0"/>
    <x v="2"/>
    <x v="28"/>
    <x v="28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30000"/>
    <n v="75000"/>
    <n v="0"/>
    <n v="0"/>
    <x v="36"/>
    <s v="05. AYACUCHO"/>
    <s v="01. HUAMANGA"/>
    <s v="01. AYACUCHO"/>
    <x v="2"/>
    <s v="13. DONACIONES Y TRANSFERENCIAS"/>
    <s v="5. GASTOS CORRIENTES"/>
    <s v="2. GASTOS PRESUPUESTARIOS"/>
    <x v="2"/>
    <s v=" 1. COMPRA DE BIENES"/>
    <s v=" 5. MATERIALES Y  UTILES"/>
    <s v=" 3. ASEO, LIMPIEZA Y COCINA"/>
    <s v=" 1. ASEO, LIMPIEZA Y TOCADOR"/>
    <s v="18. SUBCUENTA - TRANSFERENCIAS FINANCIERAS"/>
    <n v="0"/>
    <n v="0"/>
    <n v="0"/>
    <n v="0"/>
    <n v="0"/>
    <n v="0"/>
    <n v="0"/>
    <n v="0"/>
    <n v="129864.7"/>
    <n v="1900"/>
    <n v="0"/>
    <n v="0"/>
    <n v="0"/>
    <n v="0"/>
    <n v="0"/>
    <n v="0"/>
    <n v="0"/>
    <n v="0"/>
    <n v="0"/>
    <n v="0"/>
    <n v="129864.7"/>
    <n v="1900"/>
    <n v="0"/>
    <n v="0"/>
    <n v="0"/>
    <n v="0"/>
    <n v="0"/>
    <n v="0"/>
    <n v="0"/>
    <n v="0"/>
    <n v="0"/>
    <n v="0"/>
    <n v="0"/>
    <n v="131764.70000000001"/>
    <n v="0"/>
    <n v="0"/>
    <n v="0"/>
    <n v="0"/>
    <n v="0"/>
    <n v="0"/>
    <n v="0"/>
    <n v="0"/>
    <n v="0"/>
    <n v="0"/>
    <n v="0"/>
    <n v="131764.70000000001"/>
    <n v="0"/>
    <n v="0"/>
    <n v="0"/>
    <n v="0"/>
    <n v="0"/>
    <n v="0"/>
    <n v="0"/>
    <x v="2"/>
    <x v="28"/>
    <x v="28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0"/>
    <s v=" ."/>
    <s v="3000688."/>
    <s v="5.ACTIVIDAD"/>
    <s v="5005150. ATENCION DE REHABILITACION PARA PERSONAS CON DISCAPACIDAD FISICA"/>
    <s v="20. SALUD"/>
    <s v="044. SALUD INDIVIDUAL"/>
    <s v="0097. ATENCION MEDICA ESPECIALIZADA"/>
    <s v="00001"/>
    <s v="0136019. ATENCION DE REHABILITACION PARA PERSONAS CON DISCAPACIDAD FISICA"/>
    <s v="00087 - PERSONA ATENDIDA"/>
    <n v="12625"/>
    <n v="6293"/>
    <n v="0"/>
    <n v="0"/>
    <x v="98"/>
    <s v="05. AYACUCHO"/>
    <s v="01. HUAMANGA"/>
    <s v="01. AYACUCHO"/>
    <x v="2"/>
    <s v="13. DONACIONES Y TRANSFERENCIAS"/>
    <s v="5. GASTOS CORRIENTES"/>
    <s v="2. GASTOS PRESUPUESTARIOS"/>
    <x v="2"/>
    <s v=" 1. COMPRA DE BIENES"/>
    <s v=" 5. MATERIALES Y  UTILES"/>
    <s v=" 3. ASEO, LIMPIEZA Y COCINA"/>
    <s v=" 1. ASEO, LIMPIEZA Y TOCADOR"/>
    <s v="18. SUBCUENTA - TRANSFERENCIAS FINANCIERAS"/>
    <n v="0"/>
    <n v="0"/>
    <n v="0"/>
    <n v="0"/>
    <n v="0"/>
    <n v="0"/>
    <n v="0"/>
    <n v="33866"/>
    <n v="0"/>
    <n v="0"/>
    <n v="0"/>
    <n v="0"/>
    <n v="0"/>
    <n v="0"/>
    <n v="0"/>
    <n v="0"/>
    <n v="0"/>
    <n v="0"/>
    <n v="0"/>
    <n v="0"/>
    <n v="33866"/>
    <n v="0"/>
    <n v="0"/>
    <n v="0"/>
    <n v="0"/>
    <n v="0"/>
    <n v="0"/>
    <n v="0"/>
    <n v="0"/>
    <n v="0"/>
    <n v="0"/>
    <n v="0"/>
    <n v="0"/>
    <n v="33866"/>
    <n v="0"/>
    <n v="0"/>
    <n v="0"/>
    <n v="0"/>
    <n v="0"/>
    <n v="0"/>
    <n v="0"/>
    <n v="0"/>
    <n v="0"/>
    <n v="0"/>
    <n v="0"/>
    <n v="33866"/>
    <n v="0"/>
    <n v="0"/>
    <n v="0"/>
    <n v="0"/>
    <n v="0"/>
    <n v="0"/>
    <n v="0"/>
    <x v="2"/>
    <x v="28"/>
    <x v="28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877."/>
    <s v="5.ACTIVIDAD"/>
    <s v="5000029. ATENDER A NIÑOS CON DIAGNOSTICO DE INFECCIONES RESPIRATORIAS AGUDAS CON COMPLICACIONES"/>
    <s v="20. SALUD"/>
    <s v="044. SALUD INDIVIDUAL"/>
    <s v="0097. ATENCION MEDICA ESPECIALIZADA"/>
    <s v="00001"/>
    <s v="0033313. ATENCION IRA CON COMPLICACIONES"/>
    <s v="00016 - CASO TRATADO"/>
    <n v="600"/>
    <n v="110"/>
    <n v="0"/>
    <n v="0"/>
    <x v="43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1. PRODUCTOS FARMACEUTICOS"/>
    <s v=" 2. MEDICAMENTOS"/>
    <s v="18. SUBCUENTA - TRANSFERENCIAS FINANCIERAS"/>
    <n v="0"/>
    <n v="0"/>
    <n v="0"/>
    <n v="0"/>
    <n v="0"/>
    <n v="0"/>
    <n v="0"/>
    <n v="0"/>
    <n v="0"/>
    <n v="5580"/>
    <n v="0"/>
    <n v="13523.4"/>
    <n v="0"/>
    <n v="0"/>
    <n v="0"/>
    <n v="0"/>
    <n v="0"/>
    <n v="0"/>
    <n v="0"/>
    <n v="0"/>
    <n v="0"/>
    <n v="0"/>
    <n v="5580"/>
    <n v="13523.4"/>
    <n v="0"/>
    <n v="0"/>
    <n v="0"/>
    <n v="0"/>
    <n v="0"/>
    <n v="0"/>
    <n v="0"/>
    <n v="0"/>
    <n v="0"/>
    <n v="0"/>
    <n v="5580"/>
    <n v="0"/>
    <n v="0"/>
    <n v="0"/>
    <n v="0"/>
    <n v="0"/>
    <n v="0"/>
    <n v="0"/>
    <n v="0"/>
    <n v="0"/>
    <n v="0"/>
    <n v="0"/>
    <n v="5580"/>
    <n v="0"/>
    <n v="0"/>
    <n v="0"/>
    <n v="0"/>
    <n v="0"/>
    <n v="0"/>
    <x v="2"/>
    <x v="35"/>
    <x v="35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4."/>
    <s v="5.ACTIVIDAD"/>
    <s v="5000044. BRINDAR ATENCION A LA GESTANTE CON COMPLICACIONES"/>
    <s v="20. SALUD"/>
    <s v="044. SALUD INDIVIDUAL"/>
    <s v="0097. ATENCION MEDICA ESPECIALIZADA"/>
    <s v="00001"/>
    <s v="0033294. ATENCION DE LA GESTANTE CON COMPLICACIONES"/>
    <s v="00016 - CASO TRATADO"/>
    <n v="3900"/>
    <n v="2050"/>
    <n v="0"/>
    <n v="0"/>
    <x v="10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1. PRODUCTOS FARMACEUTICOS"/>
    <s v=" 2. MEDICAMENTOS"/>
    <s v="18. SUBCUENTA - TRANSFERENCIAS FINANCIERAS"/>
    <n v="0"/>
    <n v="0"/>
    <n v="0"/>
    <n v="0"/>
    <n v="0"/>
    <n v="0"/>
    <n v="0"/>
    <n v="0"/>
    <n v="0"/>
    <n v="5625"/>
    <n v="0"/>
    <n v="0"/>
    <n v="0"/>
    <n v="0"/>
    <n v="0"/>
    <n v="0"/>
    <n v="0"/>
    <n v="0"/>
    <n v="0"/>
    <n v="0"/>
    <n v="0"/>
    <n v="0"/>
    <n v="5625"/>
    <n v="0"/>
    <n v="0"/>
    <n v="0"/>
    <n v="0"/>
    <n v="0"/>
    <n v="0"/>
    <n v="0"/>
    <n v="0"/>
    <n v="0"/>
    <n v="0"/>
    <n v="0"/>
    <n v="5625"/>
    <n v="0"/>
    <n v="0"/>
    <n v="0"/>
    <n v="0"/>
    <n v="0"/>
    <n v="0"/>
    <n v="0"/>
    <n v="0"/>
    <n v="0"/>
    <n v="0"/>
    <n v="0"/>
    <n v="5625"/>
    <n v="0"/>
    <n v="0"/>
    <n v="0"/>
    <n v="0"/>
    <n v="0"/>
    <n v="0"/>
    <x v="2"/>
    <x v="35"/>
    <x v="35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6."/>
    <s v="5.ACTIVIDAD"/>
    <s v="5000046. BRINDAR ATENCION DEL PARTO COMPLICADO NO QUIRURGICO"/>
    <s v="20. SALUD"/>
    <s v="044. SALUD INDIVIDUAL"/>
    <s v="0097. ATENCION MEDICA ESPECIALIZADA"/>
    <s v="00001"/>
    <s v="0033296. ATENCION DEL PARTO COMPLICADO NO QUIRURGICO"/>
    <s v="00209 - PARTO COMPLICADO"/>
    <n v="1420"/>
    <n v="710"/>
    <n v="0"/>
    <n v="0"/>
    <x v="12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1. PRODUCTOS FARMACEUTICOS"/>
    <s v=" 2. MEDICAMENTOS"/>
    <s v="18. SUBCUENTA - TRANSFERENCIAS FINANCIERAS"/>
    <n v="0"/>
    <n v="0"/>
    <n v="0"/>
    <n v="0"/>
    <n v="0"/>
    <n v="0"/>
    <n v="0"/>
    <n v="0"/>
    <n v="17036.8"/>
    <n v="0"/>
    <n v="0"/>
    <n v="0"/>
    <n v="0"/>
    <n v="0"/>
    <n v="0"/>
    <n v="0"/>
    <n v="0"/>
    <n v="0"/>
    <n v="0"/>
    <n v="0"/>
    <n v="17036.8"/>
    <n v="0"/>
    <n v="0"/>
    <n v="0"/>
    <n v="0"/>
    <n v="0"/>
    <n v="0"/>
    <n v="0"/>
    <n v="0"/>
    <n v="0"/>
    <n v="0"/>
    <n v="0"/>
    <n v="17036.8"/>
    <n v="0"/>
    <n v="0"/>
    <n v="0"/>
    <n v="0"/>
    <n v="0"/>
    <n v="0"/>
    <n v="0"/>
    <n v="0"/>
    <n v="0"/>
    <n v="0"/>
    <n v="0"/>
    <n v="17036.8"/>
    <n v="0"/>
    <n v="0"/>
    <n v="0"/>
    <n v="0"/>
    <n v="0"/>
    <n v="0"/>
    <n v="0"/>
    <n v="0"/>
    <x v="2"/>
    <x v="35"/>
    <x v="35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7."/>
    <s v="5.ACTIVIDAD"/>
    <s v="5000047. BRINDAR ATENCION DEL PARTO COMPLICADO QUIRURGICO"/>
    <s v="20. SALUD"/>
    <s v="044. SALUD INDIVIDUAL"/>
    <s v="0097. ATENCION MEDICA ESPECIALIZADA"/>
    <s v="00001"/>
    <s v="0033297. ATENCION DEL PARTO COMPLICADO QUIRURGICO"/>
    <s v="00210 - CESAREA"/>
    <n v="1550"/>
    <n v="775"/>
    <n v="0"/>
    <n v="0"/>
    <x v="13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1. PRODUCTOS FARMACEUTICOS"/>
    <s v=" 2. MEDICAMENTOS"/>
    <s v="18. SUBCUENTA - TRANSFERENCIAS FINANCIERAS"/>
    <n v="0"/>
    <n v="0"/>
    <n v="0"/>
    <n v="0"/>
    <n v="0"/>
    <n v="0"/>
    <n v="0"/>
    <n v="0"/>
    <n v="0"/>
    <n v="10136"/>
    <n v="0"/>
    <n v="0"/>
    <n v="0"/>
    <n v="0"/>
    <n v="0"/>
    <n v="0"/>
    <n v="0"/>
    <n v="0"/>
    <n v="0"/>
    <n v="0"/>
    <n v="0"/>
    <n v="0"/>
    <n v="10136"/>
    <n v="0"/>
    <n v="0"/>
    <n v="0"/>
    <n v="0"/>
    <n v="0"/>
    <n v="0"/>
    <n v="0"/>
    <n v="0"/>
    <n v="0"/>
    <n v="0"/>
    <n v="0"/>
    <n v="10136"/>
    <n v="0"/>
    <n v="0"/>
    <n v="0"/>
    <n v="0"/>
    <n v="0"/>
    <n v="0"/>
    <n v="0"/>
    <n v="0"/>
    <n v="0"/>
    <n v="0"/>
    <n v="0"/>
    <n v="10136"/>
    <n v="0"/>
    <n v="0"/>
    <n v="0"/>
    <n v="0"/>
    <n v="0"/>
    <n v="0"/>
    <x v="2"/>
    <x v="35"/>
    <x v="35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6."/>
    <s v="5.ACTIVIDAD"/>
    <s v="5000054. ATENDER AL RECIEN NACIDO CON COMPLICACIONES"/>
    <s v="20. SALUD"/>
    <s v="044. SALUD INDIVIDUAL"/>
    <s v="0097. ATENCION MEDICA ESPECIALIZADA"/>
    <s v="00001"/>
    <s v="0033306. ATENCION DEL RECIEN NACIDO CON COMPLICACIONES"/>
    <s v="00016 - CASO TRATADO"/>
    <n v="2449"/>
    <n v="1234"/>
    <n v="0"/>
    <n v="0"/>
    <x v="18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1. PRODUCTOS FARMACEUTICOS"/>
    <s v=" 2. MEDICAMENTOS"/>
    <s v="18. SUBCUENTA - TRANSFERENCIAS FINANCIERAS"/>
    <n v="0"/>
    <n v="0"/>
    <n v="0"/>
    <n v="0"/>
    <n v="0"/>
    <n v="0"/>
    <n v="0"/>
    <n v="0"/>
    <n v="31600"/>
    <n v="12682.5"/>
    <n v="130447.8"/>
    <n v="19980"/>
    <n v="0"/>
    <n v="0"/>
    <n v="0"/>
    <n v="0"/>
    <n v="0"/>
    <n v="0"/>
    <n v="0"/>
    <n v="0"/>
    <n v="4600"/>
    <n v="39682.5"/>
    <n v="104250"/>
    <n v="26197.8"/>
    <n v="0"/>
    <n v="0"/>
    <n v="0"/>
    <n v="0"/>
    <n v="0"/>
    <n v="0"/>
    <n v="0"/>
    <n v="0"/>
    <n v="0"/>
    <n v="17282.5"/>
    <n v="27000"/>
    <n v="104250"/>
    <n v="0"/>
    <n v="0"/>
    <n v="0"/>
    <n v="0"/>
    <n v="0"/>
    <n v="0"/>
    <n v="0"/>
    <n v="0"/>
    <n v="0"/>
    <n v="17282.5"/>
    <n v="27000"/>
    <n v="104250"/>
    <n v="0"/>
    <n v="0"/>
    <n v="0"/>
    <n v="0"/>
    <n v="0"/>
    <x v="2"/>
    <x v="35"/>
    <x v="35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69."/>
    <s v="5.ACTIVIDAD"/>
    <s v="5000079. BRINDAR ATENCION INTEGRAL A PERSONAS CON DIAGNOSTICO DE VIH QUE ACUDEN A LOS SERVICIOS"/>
    <s v="20. SALUD"/>
    <s v="044. SALUD INDIVIDUAL"/>
    <s v="0096. ATENCION MEDICA BASICA"/>
    <s v="00001"/>
    <s v="0136038. BRINDAR ATENCION INTEGRAL A PERSONAS CON DIAGNOSTICO DE VIH QUE ACUDEN A LOS SERVICIOS"/>
    <s v="00087 - PERSONA ATENDIDA"/>
    <n v="36"/>
    <n v="17"/>
    <n v="0"/>
    <n v="0"/>
    <x v="75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1. PRODUCTOS FARMACEUTICOS"/>
    <s v=" 2. MEDICAMENTOS"/>
    <s v="18. SUBCUENTA - TRANSFERENCIAS FINANCIERAS"/>
    <n v="0"/>
    <n v="0"/>
    <n v="0"/>
    <n v="0"/>
    <n v="0"/>
    <n v="0"/>
    <n v="0"/>
    <n v="0"/>
    <n v="0"/>
    <n v="3273.92"/>
    <n v="0"/>
    <n v="0"/>
    <n v="0"/>
    <n v="0"/>
    <n v="0"/>
    <n v="0"/>
    <n v="0"/>
    <n v="0"/>
    <n v="0"/>
    <n v="0"/>
    <n v="0"/>
    <n v="0"/>
    <n v="3273.92"/>
    <n v="0"/>
    <n v="0"/>
    <n v="0"/>
    <n v="0"/>
    <n v="0"/>
    <n v="0"/>
    <n v="0"/>
    <n v="0"/>
    <n v="0"/>
    <n v="0"/>
    <n v="0"/>
    <n v="3273.92"/>
    <n v="0"/>
    <n v="0"/>
    <n v="0"/>
    <n v="0"/>
    <n v="0"/>
    <n v="0"/>
    <n v="0"/>
    <n v="0"/>
    <n v="0"/>
    <n v="0"/>
    <n v="0"/>
    <n v="3273.92"/>
    <n v="0"/>
    <n v="0"/>
    <n v="0"/>
    <n v="0"/>
    <n v="0"/>
    <n v="0"/>
    <x v="2"/>
    <x v="35"/>
    <x v="35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11"/>
    <s v=" ."/>
    <s v="3043983."/>
    <s v="5.ACTIVIDAD"/>
    <s v="5000093. EVALUACION, DIAGNOSTICO Y TRATAMIENTO DE ENFERMEDADES METAXENICAS"/>
    <s v="20. SALUD"/>
    <s v="044. SALUD INDIVIDUAL"/>
    <s v="0096. ATENCION MEDICA BASICA"/>
    <s v="00001"/>
    <s v="0043983. DIAGNOSTICO Y TRATAMIENTO DE ENFERMEDADES METAXENICAS"/>
    <s v="00394 - TECNICO"/>
    <n v="6"/>
    <n v="689"/>
    <n v="0"/>
    <n v="0"/>
    <x v="46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1. PRODUCTOS FARMACEUTICOS"/>
    <s v=" 2. MEDICAMENTOS"/>
    <s v="18. SUBCUENTA - TRANSFERENCIAS FINANCIERAS"/>
    <n v="0"/>
    <n v="0"/>
    <n v="0"/>
    <n v="0"/>
    <n v="0"/>
    <n v="0"/>
    <n v="0"/>
    <n v="0"/>
    <n v="0"/>
    <n v="0"/>
    <n v="0"/>
    <n v="28145.7"/>
    <n v="0"/>
    <n v="0"/>
    <n v="0"/>
    <n v="0"/>
    <n v="0"/>
    <n v="0"/>
    <n v="0"/>
    <n v="0"/>
    <n v="0"/>
    <n v="0"/>
    <n v="0"/>
    <n v="2814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5"/>
    <x v="35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66."/>
    <s v="5.ACTIVIDAD"/>
    <s v="5006015. TRATAMIENTO DEL CANCER DE MAMA"/>
    <s v="20. SALUD"/>
    <s v="044. SALUD INDIVIDUAL"/>
    <s v="0097. ATENCION MEDICA ESPECIALIZADA"/>
    <s v="00001"/>
    <s v="0215088. TRATAMIENTO DEL CANCER DE MAMA"/>
    <s v="00394 - TECNICO"/>
    <n v="6"/>
    <n v="6"/>
    <n v="0"/>
    <n v="0"/>
    <x v="90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1. PRODUCTOS FARMACEUTICOS"/>
    <s v=" 2. MEDICAMENTOS"/>
    <s v="18. SUBCUENTA - TRANSFERENCIAS FINANCIERAS"/>
    <n v="0"/>
    <n v="0"/>
    <n v="0"/>
    <n v="0"/>
    <n v="0"/>
    <n v="0"/>
    <n v="0"/>
    <n v="0"/>
    <n v="1100"/>
    <n v="9156.2999999999993"/>
    <n v="-8088.3"/>
    <n v="0"/>
    <n v="0"/>
    <n v="0"/>
    <n v="0"/>
    <n v="0"/>
    <n v="0"/>
    <n v="0"/>
    <n v="0"/>
    <n v="0"/>
    <n v="0"/>
    <n v="1100"/>
    <n v="1068"/>
    <n v="0"/>
    <n v="0"/>
    <n v="0"/>
    <n v="0"/>
    <n v="0"/>
    <n v="0"/>
    <n v="0"/>
    <n v="0"/>
    <n v="0"/>
    <n v="0"/>
    <n v="0"/>
    <n v="2168"/>
    <n v="0"/>
    <n v="0"/>
    <n v="0"/>
    <n v="0"/>
    <n v="0"/>
    <n v="0"/>
    <n v="0"/>
    <n v="0"/>
    <n v="0"/>
    <n v="0"/>
    <n v="0"/>
    <n v="2168"/>
    <n v="0"/>
    <n v="0"/>
    <n v="0"/>
    <n v="0"/>
    <n v="0"/>
    <n v="0"/>
    <x v="2"/>
    <x v="35"/>
    <x v="35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3. ATENCION DE LA EMERGENCIA Y URGENCIA ESPECIALIZADA"/>
    <s v="20. SALUD"/>
    <s v="044. SALUD INDIVIDUAL"/>
    <s v="0097. ATENCION MEDICA ESPECIALIZADA"/>
    <s v="00001"/>
    <s v="0188299. ATENCION DE LA EMERGENCIA Y URGENCIA ESPECIALIZADA"/>
    <s v="00006 - ATENCION"/>
    <n v="25000"/>
    <n v="12500"/>
    <n v="0"/>
    <n v="0"/>
    <x v="28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1. PRODUCTOS FARMACEUTICOS"/>
    <s v=" 2. MEDICAMENTOS"/>
    <s v="18. SUBCUENTA - TRANSFERENCIAS FINANCIERAS"/>
    <n v="0"/>
    <n v="0"/>
    <n v="0"/>
    <n v="0"/>
    <n v="0"/>
    <n v="0"/>
    <n v="0"/>
    <n v="0"/>
    <n v="0"/>
    <n v="0"/>
    <n v="0"/>
    <n v="15866.4"/>
    <n v="0"/>
    <n v="0"/>
    <n v="0"/>
    <n v="0"/>
    <n v="0"/>
    <n v="0"/>
    <n v="0"/>
    <n v="0"/>
    <n v="0"/>
    <n v="0"/>
    <n v="0"/>
    <n v="1586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5"/>
    <x v="35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5. ATENCION DE LA EMERGENCIA QUIRURGICA"/>
    <s v="20. SALUD"/>
    <s v="044. SALUD INDIVIDUAL"/>
    <s v="0097. ATENCION MEDICA ESPECIALIZADA"/>
    <s v="00001"/>
    <s v="0188301. ATENCION DE LA EMERGENCIA QUIRURGICA"/>
    <s v="00006 - ATENCION"/>
    <n v="30000"/>
    <n v="1500"/>
    <n v="0"/>
    <n v="0"/>
    <x v="30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1. PRODUCTOS FARMACEUTICOS"/>
    <s v=" 2. MEDICAMENTOS"/>
    <s v="18. SUBCUENTA - TRANSFERENCIAS FINANCIERAS"/>
    <n v="0"/>
    <n v="0"/>
    <n v="0"/>
    <n v="0"/>
    <n v="0"/>
    <n v="0"/>
    <n v="0"/>
    <n v="0"/>
    <n v="0"/>
    <n v="29611.7"/>
    <n v="-2069.1"/>
    <n v="24964.5"/>
    <n v="0"/>
    <n v="0"/>
    <n v="0"/>
    <n v="0"/>
    <n v="0"/>
    <n v="0"/>
    <n v="0"/>
    <n v="0"/>
    <n v="0"/>
    <n v="0"/>
    <n v="8000"/>
    <n v="44507.1"/>
    <n v="0"/>
    <n v="0"/>
    <n v="0"/>
    <n v="0"/>
    <n v="0"/>
    <n v="0"/>
    <n v="0"/>
    <n v="0"/>
    <n v="0"/>
    <n v="0"/>
    <n v="8000"/>
    <n v="0"/>
    <n v="0"/>
    <n v="0"/>
    <n v="0"/>
    <n v="0"/>
    <n v="0"/>
    <n v="0"/>
    <n v="0"/>
    <n v="0"/>
    <n v="0"/>
    <n v="0"/>
    <n v="8000"/>
    <n v="0"/>
    <n v="0"/>
    <n v="0"/>
    <n v="0"/>
    <n v="0"/>
    <n v="0"/>
    <x v="2"/>
    <x v="35"/>
    <x v="35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30000"/>
    <n v="75000"/>
    <n v="0"/>
    <n v="0"/>
    <x v="36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1. PRODUCTOS FARMACEUTICOS"/>
    <s v=" 2. MEDICAMENTOS"/>
    <s v="18. SUBCUENTA - TRANSFERENCIAS FINANCIERAS"/>
    <n v="0"/>
    <n v="0"/>
    <n v="0"/>
    <n v="0"/>
    <n v="0"/>
    <n v="0"/>
    <n v="0"/>
    <n v="273523.49"/>
    <n v="162591.49"/>
    <n v="55088.99"/>
    <n v="39360"/>
    <n v="64525.81"/>
    <n v="0"/>
    <n v="0"/>
    <n v="0"/>
    <n v="0"/>
    <n v="0"/>
    <n v="0"/>
    <n v="0"/>
    <n v="96388.26"/>
    <n v="235899.55"/>
    <n v="35481.230000000003"/>
    <n v="147125.01"/>
    <n v="10443.4"/>
    <n v="0"/>
    <n v="0"/>
    <n v="0"/>
    <n v="0"/>
    <n v="0"/>
    <n v="0"/>
    <n v="0"/>
    <n v="0"/>
    <n v="167091.93"/>
    <n v="150268.15"/>
    <n v="143750.45000000001"/>
    <n v="34576.79"/>
    <n v="0"/>
    <n v="0"/>
    <n v="0"/>
    <n v="0"/>
    <n v="0"/>
    <n v="0"/>
    <n v="0"/>
    <n v="0"/>
    <n v="167091.93"/>
    <n v="150268.15"/>
    <n v="143750.45000000001"/>
    <n v="34576.79"/>
    <n v="0"/>
    <n v="0"/>
    <n v="0"/>
    <n v="0"/>
    <n v="0"/>
    <x v="2"/>
    <x v="35"/>
    <x v="35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2"/>
    <s v="0331977. AFILIACIÓN Y PRESTACIÓN DE SALUD PARA ASEGURAMIENTO UNIVERSAL"/>
    <s v="00006 - ATENCION"/>
    <n v="0"/>
    <n v="1"/>
    <n v="0"/>
    <n v="0"/>
    <x v="134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1. PRODUCTOS FARMACEUTICOS"/>
    <s v=" 2. MEDICAMENTOS"/>
    <s v="18. SUBCUENTA - TRANSFERENCIAS FINANCIERAS"/>
    <n v="0"/>
    <n v="0"/>
    <n v="0"/>
    <n v="0"/>
    <n v="0"/>
    <n v="0"/>
    <n v="0"/>
    <n v="0"/>
    <n v="0"/>
    <n v="0"/>
    <n v="0"/>
    <n v="306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5"/>
    <x v="35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30000"/>
    <n v="75000"/>
    <n v="0"/>
    <n v="0"/>
    <x v="36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1. PRODUCTOS FARMACEUTICOS"/>
    <s v="99. OTROS PRODUCTOS SIMILARES"/>
    <s v="18. SUBCUENTA - TRANSFERENCIAS FINANCIERAS"/>
    <n v="0"/>
    <n v="0"/>
    <n v="0"/>
    <n v="0"/>
    <n v="0"/>
    <n v="0"/>
    <n v="0"/>
    <n v="32826.42"/>
    <n v="660"/>
    <n v="0"/>
    <n v="2219.4"/>
    <n v="0"/>
    <n v="0"/>
    <n v="0"/>
    <n v="0"/>
    <n v="0"/>
    <n v="0"/>
    <n v="0"/>
    <n v="0"/>
    <n v="0"/>
    <n v="33486.42"/>
    <n v="0"/>
    <n v="2219.4"/>
    <n v="0"/>
    <n v="0"/>
    <n v="0"/>
    <n v="0"/>
    <n v="0"/>
    <n v="0"/>
    <n v="0"/>
    <n v="0"/>
    <n v="0"/>
    <n v="33486.42"/>
    <n v="0"/>
    <n v="0"/>
    <n v="2219.4"/>
    <n v="0"/>
    <n v="0"/>
    <n v="0"/>
    <n v="0"/>
    <n v="0"/>
    <n v="0"/>
    <n v="0"/>
    <n v="0"/>
    <n v="33486.42"/>
    <n v="0"/>
    <n v="0"/>
    <n v="2219.4"/>
    <n v="0"/>
    <n v="0"/>
    <n v="0"/>
    <n v="0"/>
    <n v="0"/>
    <x v="2"/>
    <x v="80"/>
    <x v="80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876."/>
    <s v="5.ACTIVIDAD"/>
    <s v="5000027. ATENDER A NIÑOS CON INFECCIONES RESPIRATORIAS AGUDAS"/>
    <s v="20. SALUD"/>
    <s v="044. SALUD INDIVIDUAL"/>
    <s v="0096. ATENCION MEDICA BASICA"/>
    <s v="00001"/>
    <s v="0033311. ATENCION IRA"/>
    <s v="00016 - CASO TRATADO"/>
    <n v="3300"/>
    <n v="1663"/>
    <n v="0"/>
    <n v="0"/>
    <x v="66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1650"/>
    <n v="0"/>
    <n v="45325"/>
    <n v="1800"/>
    <n v="0"/>
    <n v="0"/>
    <n v="0"/>
    <n v="0"/>
    <n v="0"/>
    <n v="0"/>
    <n v="0"/>
    <n v="0"/>
    <n v="0"/>
    <n v="1650"/>
    <n v="45325"/>
    <n v="0"/>
    <n v="1800"/>
    <n v="0"/>
    <n v="0"/>
    <n v="0"/>
    <n v="0"/>
    <n v="0"/>
    <n v="0"/>
    <n v="0"/>
    <n v="0"/>
    <n v="1650"/>
    <n v="0"/>
    <n v="45325"/>
    <n v="1800"/>
    <n v="0"/>
    <n v="0"/>
    <n v="0"/>
    <n v="0"/>
    <n v="0"/>
    <n v="0"/>
    <n v="0"/>
    <n v="0"/>
    <n v="1650"/>
    <n v="0"/>
    <n v="45325"/>
    <n v="180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876."/>
    <s v="5.ACTIVIDAD"/>
    <s v="5000028. ATENDER A NIÑOS CON ENFERMEDADES DIARREICAS AGUDAS"/>
    <s v="20. SALUD"/>
    <s v="044. SALUD INDIVIDUAL"/>
    <s v="0096. ATENCION MEDICA BASICA"/>
    <s v="00001"/>
    <s v="0033312. ATENCION EDA"/>
    <s v="00016 - CASO TRATADO"/>
    <n v="1664"/>
    <n v="752"/>
    <n v="0"/>
    <n v="0"/>
    <x v="67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0"/>
    <n v="0"/>
    <n v="37933.01"/>
    <n v="1200"/>
    <n v="885"/>
    <n v="0"/>
    <n v="0"/>
    <n v="0"/>
    <n v="0"/>
    <n v="0"/>
    <n v="0"/>
    <n v="0"/>
    <n v="0"/>
    <n v="0"/>
    <n v="37933.01"/>
    <n v="0"/>
    <n v="2085"/>
    <n v="0"/>
    <n v="0"/>
    <n v="0"/>
    <n v="0"/>
    <n v="0"/>
    <n v="0"/>
    <n v="0"/>
    <n v="0"/>
    <n v="0"/>
    <n v="37933.01"/>
    <n v="0"/>
    <n v="1200"/>
    <n v="0"/>
    <n v="0"/>
    <n v="0"/>
    <n v="0"/>
    <n v="0"/>
    <n v="0"/>
    <n v="0"/>
    <n v="0"/>
    <n v="0"/>
    <n v="37933.01"/>
    <n v="0"/>
    <n v="120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877."/>
    <s v="5.ACTIVIDAD"/>
    <s v="5000029. ATENDER A NIÑOS CON DIAGNOSTICO DE INFECCIONES RESPIRATORIAS AGUDAS CON COMPLICACIONES"/>
    <s v="20. SALUD"/>
    <s v="044. SALUD INDIVIDUAL"/>
    <s v="0097. ATENCION MEDICA ESPECIALIZADA"/>
    <s v="00001"/>
    <s v="0033313. ATENCION IRA CON COMPLICACIONES"/>
    <s v="00016 - CASO TRATADO"/>
    <n v="600"/>
    <n v="110"/>
    <n v="0"/>
    <n v="0"/>
    <x v="43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0"/>
    <n v="22512"/>
    <n v="30766.2"/>
    <n v="0"/>
    <n v="1940.13"/>
    <n v="0"/>
    <n v="0"/>
    <n v="0"/>
    <n v="0"/>
    <n v="0"/>
    <n v="0"/>
    <n v="0"/>
    <n v="0"/>
    <n v="0"/>
    <n v="49798.2"/>
    <n v="0"/>
    <n v="4941.58"/>
    <n v="0"/>
    <n v="0"/>
    <n v="0"/>
    <n v="0"/>
    <n v="0"/>
    <n v="0"/>
    <n v="0"/>
    <n v="0"/>
    <n v="0"/>
    <n v="49798.2"/>
    <n v="0"/>
    <n v="3480"/>
    <n v="0"/>
    <n v="0"/>
    <n v="0"/>
    <n v="0"/>
    <n v="0"/>
    <n v="0"/>
    <n v="0"/>
    <n v="0"/>
    <n v="0"/>
    <n v="49798.2"/>
    <n v="0"/>
    <n v="348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877."/>
    <s v="5.ACTIVIDAD"/>
    <s v="5000030. ATENDER A NIÑOS CON DIAGNOSTICO DE ENFERMEDAD DIARREICA AGUDA COMPLICADA"/>
    <s v="20. SALUD"/>
    <s v="044. SALUD INDIVIDUAL"/>
    <s v="0097. ATENCION MEDICA ESPECIALIZADA"/>
    <s v="00001"/>
    <s v="0033314. ATENCION EDA CON COMPLICACIONES"/>
    <s v="00016 - CASO TRATADO"/>
    <n v="60"/>
    <n v="24"/>
    <n v="0"/>
    <n v="0"/>
    <x v="68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0"/>
    <n v="0"/>
    <n v="62884.2"/>
    <n v="0"/>
    <n v="0"/>
    <n v="0"/>
    <n v="0"/>
    <n v="0"/>
    <n v="0"/>
    <n v="0"/>
    <n v="0"/>
    <n v="0"/>
    <n v="0"/>
    <n v="0"/>
    <n v="52734.2"/>
    <n v="0"/>
    <n v="10150"/>
    <n v="0"/>
    <n v="0"/>
    <n v="0"/>
    <n v="0"/>
    <n v="0"/>
    <n v="0"/>
    <n v="0"/>
    <n v="0"/>
    <n v="0"/>
    <n v="52734.2"/>
    <n v="0"/>
    <n v="10150"/>
    <n v="0"/>
    <n v="0"/>
    <n v="0"/>
    <n v="0"/>
    <n v="0"/>
    <n v="0"/>
    <n v="0"/>
    <n v="0"/>
    <n v="0"/>
    <n v="52734.2"/>
    <n v="0"/>
    <n v="1015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00878."/>
    <s v="5.ACTIVIDAD"/>
    <s v="5006270. BRINDAR ATENCION  A NIÑOS CON DIAGNOSTICO DE ANEMIA POR DEFICIENCIA DE  HIERRO"/>
    <s v="20. SALUD"/>
    <s v="044. SALUD INDIVIDUAL"/>
    <s v="0096. ATENCION MEDICA BASICA"/>
    <s v="00001"/>
    <s v="0289981. BRINDAR ATENCION A NIÑOS CON DIAGNOSTICO DE ANEMIA POR DEFICIENCIA DE HIERRO"/>
    <s v="00086 - PERSONA"/>
    <n v="350"/>
    <n v="121"/>
    <n v="0"/>
    <n v="0"/>
    <x v="69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0"/>
    <n v="0"/>
    <n v="30400"/>
    <n v="6900"/>
    <n v="0"/>
    <n v="0"/>
    <n v="0"/>
    <n v="0"/>
    <n v="0"/>
    <n v="0"/>
    <n v="0"/>
    <n v="0"/>
    <n v="0"/>
    <n v="0"/>
    <n v="0"/>
    <n v="30400"/>
    <n v="6900"/>
    <n v="0"/>
    <n v="0"/>
    <n v="0"/>
    <n v="0"/>
    <n v="0"/>
    <n v="0"/>
    <n v="0"/>
    <n v="0"/>
    <n v="0"/>
    <n v="0"/>
    <n v="30400"/>
    <n v="6900"/>
    <n v="0"/>
    <n v="0"/>
    <n v="0"/>
    <n v="0"/>
    <n v="0"/>
    <n v="0"/>
    <n v="0"/>
    <n v="0"/>
    <n v="0"/>
    <n v="0"/>
    <n v="30400"/>
    <n v="690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315."/>
    <s v="5.ACTIVIDAD"/>
    <s v="5000031. BRINDAR ATENCION A OTRAS ENFERMEDADES PREVALENTES"/>
    <s v="20. SALUD"/>
    <s v="044. SALUD INDIVIDUAL"/>
    <s v="0096. ATENCION MEDICA BASICA"/>
    <s v="00001"/>
    <s v="0033315. ATENCION DE OTRAS ENFERMEDADES PREVALENTES"/>
    <s v="00016 - CASO TRATADO"/>
    <n v="924"/>
    <n v="220"/>
    <n v="0"/>
    <n v="0"/>
    <x v="6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0"/>
    <n v="0"/>
    <n v="43120"/>
    <n v="0"/>
    <n v="11200"/>
    <n v="0"/>
    <n v="0"/>
    <n v="0"/>
    <n v="0"/>
    <n v="0"/>
    <n v="0"/>
    <n v="0"/>
    <n v="0"/>
    <n v="0"/>
    <n v="8610"/>
    <n v="0"/>
    <n v="34510"/>
    <n v="0"/>
    <n v="0"/>
    <n v="0"/>
    <n v="0"/>
    <n v="0"/>
    <n v="0"/>
    <n v="0"/>
    <n v="0"/>
    <n v="0"/>
    <n v="0"/>
    <n v="8610"/>
    <n v="34510"/>
    <n v="0"/>
    <n v="0"/>
    <n v="0"/>
    <n v="0"/>
    <n v="0"/>
    <n v="0"/>
    <n v="0"/>
    <n v="0"/>
    <n v="0"/>
    <n v="0"/>
    <n v="8610"/>
    <n v="3451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3"/>
    <s v=" ."/>
    <s v="3033414."/>
    <s v="5.ACTIVIDAD"/>
    <s v="5000035. ATENDER A NIÑOS Y NIÑAS CON DIAGNOSTICO DE PARASITOSIS INTESTINAL"/>
    <s v="20. SALUD"/>
    <s v="044. SALUD INDIVIDUAL"/>
    <s v="0096. ATENCION MEDICA BASICA"/>
    <s v="00001"/>
    <s v="0033414. ATENCION DE NIÑOS Y NIÑAS CON PARASITOSIS INTESTINAL"/>
    <s v="00016 - CASO TRATADO"/>
    <n v="825"/>
    <n v="375"/>
    <n v="0"/>
    <n v="0"/>
    <x v="81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0"/>
    <n v="0"/>
    <n v="32045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4."/>
    <s v="5.ACTIVIDAD"/>
    <s v="5000044. BRINDAR ATENCION A LA GESTANTE CON COMPLICACIONES"/>
    <s v="20. SALUD"/>
    <s v="044. SALUD INDIVIDUAL"/>
    <s v="0097. ATENCION MEDICA ESPECIALIZADA"/>
    <s v="00001"/>
    <s v="0033294. ATENCION DE LA GESTANTE CON COMPLICACIONES"/>
    <s v="00016 - CASO TRATADO"/>
    <n v="3900"/>
    <n v="2050"/>
    <n v="0"/>
    <n v="0"/>
    <x v="10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0"/>
    <n v="7027.2"/>
    <n v="4569.5"/>
    <n v="76423.399999999994"/>
    <n v="0"/>
    <n v="0"/>
    <n v="0"/>
    <n v="0"/>
    <n v="0"/>
    <n v="0"/>
    <n v="0"/>
    <n v="0"/>
    <n v="0"/>
    <n v="0"/>
    <n v="4569.5"/>
    <n v="79627.199999999997"/>
    <n v="3823.4"/>
    <n v="0"/>
    <n v="0"/>
    <n v="0"/>
    <n v="0"/>
    <n v="0"/>
    <n v="0"/>
    <n v="0"/>
    <n v="0"/>
    <n v="0"/>
    <n v="4569.5"/>
    <n v="7027.2"/>
    <n v="76423.399999999994"/>
    <n v="0"/>
    <n v="0"/>
    <n v="0"/>
    <n v="0"/>
    <n v="0"/>
    <n v="0"/>
    <n v="0"/>
    <n v="0"/>
    <n v="0"/>
    <n v="4569.5"/>
    <n v="7027.2"/>
    <n v="76423.399999999994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6."/>
    <s v="5.ACTIVIDAD"/>
    <s v="5000046. BRINDAR ATENCION DEL PARTO COMPLICADO NO QUIRURGICO"/>
    <s v="20. SALUD"/>
    <s v="044. SALUD INDIVIDUAL"/>
    <s v="0097. ATENCION MEDICA ESPECIALIZADA"/>
    <s v="00001"/>
    <s v="0033296. ATENCION DEL PARTO COMPLICADO NO QUIRURGICO"/>
    <s v="00209 - PARTO COMPLICADO"/>
    <n v="1420"/>
    <n v="710"/>
    <n v="0"/>
    <n v="0"/>
    <x v="12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0"/>
    <n v="75267.28"/>
    <n v="0"/>
    <n v="176.6"/>
    <n v="57019.3"/>
    <n v="0"/>
    <n v="0"/>
    <n v="0"/>
    <n v="0"/>
    <n v="0"/>
    <n v="0"/>
    <n v="0"/>
    <n v="0"/>
    <n v="34208"/>
    <n v="41059.279999999999"/>
    <n v="0"/>
    <n v="176.6"/>
    <n v="0"/>
    <n v="0"/>
    <n v="0"/>
    <n v="0"/>
    <n v="0"/>
    <n v="0"/>
    <n v="0"/>
    <n v="0"/>
    <n v="0"/>
    <n v="56067.28"/>
    <n v="0"/>
    <n v="176.6"/>
    <n v="0"/>
    <n v="0"/>
    <n v="0"/>
    <n v="0"/>
    <n v="0"/>
    <n v="0"/>
    <n v="0"/>
    <n v="0"/>
    <n v="0"/>
    <n v="56067.28"/>
    <n v="0"/>
    <n v="176.6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7."/>
    <s v="5.ACTIVIDAD"/>
    <s v="5000047. BRINDAR ATENCION DEL PARTO COMPLICADO QUIRURGICO"/>
    <s v="20. SALUD"/>
    <s v="044. SALUD INDIVIDUAL"/>
    <s v="0097. ATENCION MEDICA ESPECIALIZADA"/>
    <s v="00001"/>
    <s v="0033297. ATENCION DEL PARTO COMPLICADO QUIRURGICO"/>
    <s v="00210 - CESAREA"/>
    <n v="1550"/>
    <n v="775"/>
    <n v="0"/>
    <n v="0"/>
    <x v="13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13900"/>
    <n v="27667.5"/>
    <n v="4640"/>
    <n v="72600"/>
    <n v="42194.879999999997"/>
    <n v="0"/>
    <n v="0"/>
    <n v="0"/>
    <n v="0"/>
    <n v="0"/>
    <n v="0"/>
    <n v="0"/>
    <n v="0"/>
    <n v="13900"/>
    <n v="0"/>
    <n v="100267.5"/>
    <n v="4640"/>
    <n v="0"/>
    <n v="0"/>
    <n v="0"/>
    <n v="0"/>
    <n v="0"/>
    <n v="0"/>
    <n v="0"/>
    <n v="0"/>
    <n v="13900"/>
    <n v="0"/>
    <n v="27667.5"/>
    <n v="77240"/>
    <n v="0"/>
    <n v="0"/>
    <n v="0"/>
    <n v="0"/>
    <n v="0"/>
    <n v="0"/>
    <n v="0"/>
    <n v="0"/>
    <n v="13900"/>
    <n v="0"/>
    <n v="27667.5"/>
    <n v="7724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299."/>
    <s v="5.ACTIVIDAD"/>
    <s v="5000049. ATENDER EL PUERPERIO CON COMPLICACIONES"/>
    <s v="20. SALUD"/>
    <s v="044. SALUD INDIVIDUAL"/>
    <s v="0097. ATENCION MEDICA ESPECIALIZADA"/>
    <s v="00001"/>
    <s v="0033299. ATENCION DEL PUERPERIO CON COMPLICACIONES"/>
    <s v="00016 - CASO TRATADO"/>
    <n v="240"/>
    <n v="120"/>
    <n v="0"/>
    <n v="0"/>
    <x v="15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0"/>
    <n v="0"/>
    <n v="0"/>
    <n v="21800"/>
    <n v="14950"/>
    <n v="0"/>
    <n v="0"/>
    <n v="0"/>
    <n v="0"/>
    <n v="0"/>
    <n v="0"/>
    <n v="0"/>
    <n v="0"/>
    <n v="0"/>
    <n v="0"/>
    <n v="21800"/>
    <n v="0"/>
    <n v="0"/>
    <n v="0"/>
    <n v="0"/>
    <n v="0"/>
    <n v="0"/>
    <n v="0"/>
    <n v="0"/>
    <n v="0"/>
    <n v="0"/>
    <n v="0"/>
    <n v="0"/>
    <n v="21800"/>
    <n v="0"/>
    <n v="0"/>
    <n v="0"/>
    <n v="0"/>
    <n v="0"/>
    <n v="0"/>
    <n v="0"/>
    <n v="0"/>
    <n v="0"/>
    <n v="0"/>
    <n v="0"/>
    <n v="2180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0."/>
    <s v="5.ACTIVIDAD"/>
    <s v="5000050. ATENDER COMPLICACIONES OBSTETRICAS EN UNIDAD DE CUIDADOS INTENSIVOS"/>
    <s v="20. SALUD"/>
    <s v="044. SALUD INDIVIDUAL"/>
    <s v="0097. ATENCION MEDICA ESPECIALIZADA"/>
    <s v="00001"/>
    <s v="0033300. ATENCION OBSTETRICA EN UNIDAD DE CUIDADOS INTENSIVOS"/>
    <s v="00016 - CASO TRATADO"/>
    <n v="68"/>
    <n v="34"/>
    <n v="0"/>
    <n v="0"/>
    <x v="16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0"/>
    <n v="23427.5"/>
    <n v="39448"/>
    <n v="21000"/>
    <n v="107800"/>
    <n v="0"/>
    <n v="0"/>
    <n v="0"/>
    <n v="0"/>
    <n v="0"/>
    <n v="0"/>
    <n v="0"/>
    <n v="0"/>
    <n v="23427.5"/>
    <n v="598"/>
    <n v="59850"/>
    <n v="0"/>
    <n v="0"/>
    <n v="0"/>
    <n v="0"/>
    <n v="0"/>
    <n v="0"/>
    <n v="0"/>
    <n v="0"/>
    <n v="0"/>
    <n v="0"/>
    <n v="24025.5"/>
    <n v="38850"/>
    <n v="21000"/>
    <n v="0"/>
    <n v="0"/>
    <n v="0"/>
    <n v="0"/>
    <n v="0"/>
    <n v="0"/>
    <n v="0"/>
    <n v="0"/>
    <n v="0"/>
    <n v="24025.5"/>
    <n v="38850"/>
    <n v="2100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6."/>
    <s v="5.ACTIVIDAD"/>
    <s v="5000054. ATENDER AL RECIEN NACIDO CON COMPLICACIONES"/>
    <s v="20. SALUD"/>
    <s v="044. SALUD INDIVIDUAL"/>
    <s v="0097. ATENCION MEDICA ESPECIALIZADA"/>
    <s v="00001"/>
    <s v="0033306. ATENCION DEL RECIEN NACIDO CON COMPLICACIONES"/>
    <s v="00016 - CASO TRATADO"/>
    <n v="2449"/>
    <n v="1234"/>
    <n v="0"/>
    <n v="0"/>
    <x v="18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0"/>
    <n v="6966"/>
    <n v="12910.8"/>
    <n v="41208.300000000003"/>
    <n v="29629.8"/>
    <n v="0"/>
    <n v="0"/>
    <n v="0"/>
    <n v="0"/>
    <n v="0"/>
    <n v="0"/>
    <n v="0"/>
    <n v="0"/>
    <n v="6966"/>
    <n v="150.80000000000001"/>
    <n v="41208.300000000003"/>
    <n v="12760"/>
    <n v="0"/>
    <n v="0"/>
    <n v="0"/>
    <n v="0"/>
    <n v="0"/>
    <n v="0"/>
    <n v="0"/>
    <n v="0"/>
    <n v="0"/>
    <n v="6966"/>
    <n v="41359.1"/>
    <n v="12760"/>
    <n v="0"/>
    <n v="0"/>
    <n v="0"/>
    <n v="0"/>
    <n v="0"/>
    <n v="0"/>
    <n v="0"/>
    <n v="0"/>
    <n v="0"/>
    <n v="6966"/>
    <n v="41359.1"/>
    <n v="1276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4"/>
    <s v=" ."/>
    <s v="3033307."/>
    <s v="5.ACTIVIDAD"/>
    <s v="5000055. ATENDER AL RECIEN NACIDO CON COMPLICACIONES QUE REQUIERE UNIDAD DE CUIDADOS INTENSIVOS NEONATALES - UCIN"/>
    <s v="20. SALUD"/>
    <s v="044. SALUD INDIVIDUAL"/>
    <s v="0097. ATENCION MEDICA ESPECIALIZADA"/>
    <s v="00001"/>
    <s v="0033307. ATENCION DEL RECIEN NACIDO CON COMPLICACIONES QUE REQUIERE UNIDAD DE CUIDADOS INTENSIVOS NEONATALES - UCIN"/>
    <s v="00016 - CASO TRATADO"/>
    <n v="1148"/>
    <n v="574"/>
    <n v="0"/>
    <n v="0"/>
    <x v="19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1360"/>
    <n v="18370"/>
    <n v="18850"/>
    <n v="16740"/>
    <n v="31690"/>
    <n v="0"/>
    <n v="0"/>
    <n v="0"/>
    <n v="0"/>
    <n v="0"/>
    <n v="0"/>
    <n v="0"/>
    <n v="0"/>
    <n v="1360"/>
    <n v="0"/>
    <n v="35110"/>
    <n v="18850"/>
    <n v="0"/>
    <n v="0"/>
    <n v="0"/>
    <n v="0"/>
    <n v="0"/>
    <n v="0"/>
    <n v="0"/>
    <n v="0"/>
    <n v="1360"/>
    <n v="0"/>
    <n v="16740"/>
    <n v="37220"/>
    <n v="0"/>
    <n v="0"/>
    <n v="0"/>
    <n v="0"/>
    <n v="0"/>
    <n v="0"/>
    <n v="0"/>
    <n v="0"/>
    <n v="1360"/>
    <n v="0"/>
    <n v="16740"/>
    <n v="35383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14."/>
    <s v="5.ACTIVIDAD"/>
    <s v="5004438. DIAGNOSTICO DE CASOS DE TUBERCULOSIS"/>
    <s v="20. SALUD"/>
    <s v="044. SALUD INDIVIDUAL"/>
    <s v="0096. ATENCION MEDICA BASICA"/>
    <s v="00001"/>
    <s v="0043964. DIAGNOSTICO DE CASOS DE TUBERCULOSIS"/>
    <s v="00393 - TASA"/>
    <n v="160"/>
    <n v="70"/>
    <n v="0"/>
    <n v="0"/>
    <x v="20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0"/>
    <n v="0"/>
    <n v="0"/>
    <n v="29110.78"/>
    <n v="8500"/>
    <n v="0"/>
    <n v="0"/>
    <n v="0"/>
    <n v="0"/>
    <n v="0"/>
    <n v="0"/>
    <n v="0"/>
    <n v="0"/>
    <n v="0"/>
    <n v="0"/>
    <n v="0"/>
    <n v="29110.78"/>
    <n v="0"/>
    <n v="0"/>
    <n v="0"/>
    <n v="0"/>
    <n v="0"/>
    <n v="0"/>
    <n v="0"/>
    <n v="0"/>
    <n v="0"/>
    <n v="0"/>
    <n v="0"/>
    <n v="29110.78"/>
    <n v="0"/>
    <n v="0"/>
    <n v="0"/>
    <n v="0"/>
    <n v="0"/>
    <n v="0"/>
    <n v="0"/>
    <n v="0"/>
    <n v="0"/>
    <n v="0"/>
    <n v="0"/>
    <n v="29110.78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16."/>
    <s v="5.ACTIVIDAD"/>
    <s v="5004440. DESPISTAJE Y DIAGNOSTICO DE TUBERCULOSIS PARA PACIENTES CON COMORBILIDAD"/>
    <s v="20. SALUD"/>
    <s v="044. SALUD INDIVIDUAL"/>
    <s v="0097. ATENCION MEDICA ESPECIALIZADA"/>
    <s v="00001"/>
    <s v="0043973. DESPISTAJE Y DIAGNOSTICO DE TUBERCULOSIS PARA PACIENTES CON COMORBILIDAD"/>
    <s v="00087 - PERSONA ATENDIDA"/>
    <n v="600"/>
    <n v="279"/>
    <n v="0"/>
    <n v="0"/>
    <x v="73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0"/>
    <n v="0"/>
    <n v="0"/>
    <n v="0"/>
    <n v="1265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672."/>
    <s v="5.ACTIVIDAD"/>
    <s v="5006273. MANEJO DE LAS COMPLICACIONES DE TUBERCULOSIS"/>
    <s v="20. SALUD"/>
    <s v="044. SALUD INDIVIDUAL"/>
    <s v="0097. ATENCION MEDICA ESPECIALIZADA"/>
    <s v="00001"/>
    <s v="0289984. MANEJO DE LAS COMPLICACIONES DE TUBERCULOSIS"/>
    <s v="00087 - PERSONA ATENDIDA"/>
    <n v="250"/>
    <n v="33"/>
    <n v="0"/>
    <n v="0"/>
    <x v="102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0"/>
    <n v="0"/>
    <n v="4844"/>
    <n v="0"/>
    <n v="0"/>
    <n v="0"/>
    <n v="0"/>
    <n v="0"/>
    <n v="0"/>
    <n v="0"/>
    <n v="0"/>
    <n v="0"/>
    <n v="0"/>
    <n v="0"/>
    <n v="494"/>
    <n v="0"/>
    <n v="4350"/>
    <n v="0"/>
    <n v="0"/>
    <n v="0"/>
    <n v="0"/>
    <n v="0"/>
    <n v="0"/>
    <n v="0"/>
    <n v="0"/>
    <n v="0"/>
    <n v="494"/>
    <n v="0"/>
    <n v="4350"/>
    <n v="0"/>
    <n v="0"/>
    <n v="0"/>
    <n v="0"/>
    <n v="0"/>
    <n v="0"/>
    <n v="0"/>
    <n v="0"/>
    <n v="0"/>
    <n v="494"/>
    <n v="0"/>
    <n v="435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00880."/>
    <s v="5.ACTIVIDAD"/>
    <s v="5005158. BRINDAR ATENCION INTEGRAL A PERSONAS CON DIAGNOSTICO DE HEPATITIS B"/>
    <s v="20. SALUD"/>
    <s v="044. SALUD INDIVIDUAL"/>
    <s v="0097. ATENCION MEDICA ESPECIALIZADA"/>
    <s v="00001"/>
    <s v="0136037. BRINDAR A PERSONAS CON DIAGNOSTICO DE HEPATITIS B CRONICA ATENCION INTEGRAL"/>
    <s v="00394 - TECNICO"/>
    <n v="260"/>
    <n v="185"/>
    <n v="0"/>
    <n v="0"/>
    <x v="104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0"/>
    <n v="0"/>
    <n v="0"/>
    <n v="0"/>
    <n v="122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69."/>
    <s v="5.ACTIVIDAD"/>
    <s v="5000079. BRINDAR ATENCION INTEGRAL A PERSONAS CON DIAGNOSTICO DE VIH QUE ACUDEN A LOS SERVICIOS"/>
    <s v="20. SALUD"/>
    <s v="044. SALUD INDIVIDUAL"/>
    <s v="0096. ATENCION MEDICA BASICA"/>
    <s v="00001"/>
    <s v="0136038. BRINDAR ATENCION INTEGRAL A PERSONAS CON DIAGNOSTICO DE VIH QUE ACUDEN A LOS SERVICIOS"/>
    <s v="00087 - PERSONA ATENDIDA"/>
    <n v="36"/>
    <n v="17"/>
    <n v="0"/>
    <n v="0"/>
    <x v="75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0"/>
    <n v="0"/>
    <n v="0"/>
    <n v="13336.2"/>
    <n v="13336.2"/>
    <n v="0"/>
    <n v="0"/>
    <n v="0"/>
    <n v="0"/>
    <n v="0"/>
    <n v="0"/>
    <n v="0"/>
    <n v="0"/>
    <n v="0"/>
    <n v="0"/>
    <n v="13336.2"/>
    <n v="0"/>
    <n v="0"/>
    <n v="0"/>
    <n v="0"/>
    <n v="0"/>
    <n v="0"/>
    <n v="0"/>
    <n v="0"/>
    <n v="0"/>
    <n v="0"/>
    <n v="0"/>
    <n v="13336.2"/>
    <n v="0"/>
    <n v="0"/>
    <n v="0"/>
    <n v="0"/>
    <n v="0"/>
    <n v="0"/>
    <n v="0"/>
    <n v="0"/>
    <n v="0"/>
    <n v="0"/>
    <n v="0"/>
    <n v="13336.2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72."/>
    <s v="5.ACTIVIDAD"/>
    <s v="5000082. BRINDAR TRATAMIENTO OPORTUNO A PERSONAS QUE ACCEDEN AL EESS Y RECIBE TRATAMIENTO PARA TUBERCULOSIS EXTREMADAMENTE DROGO RESISTENTE (XDR)"/>
    <s v="20. SALUD"/>
    <s v="044. SALUD INDIVIDUAL"/>
    <s v="0097. ATENCION MEDICA ESPECIALIZADA"/>
    <s v="00001"/>
    <s v="0136041. BRINDAR TRATAMIENTO OPORTUNO A PERSONAS QUE ACCEDEN AL EESS Y RECIBE TRATAMIENTO PARA TUBERCULOSIS EXTREMADAMENTE DROGO RESISTENTE (XDR)"/>
    <s v="00394 - TECNICO"/>
    <n v="20"/>
    <n v="6"/>
    <n v="0"/>
    <n v="0"/>
    <x v="61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0"/>
    <n v="0"/>
    <n v="0"/>
    <n v="0"/>
    <n v="3195.38"/>
    <n v="0"/>
    <n v="0"/>
    <n v="0"/>
    <n v="0"/>
    <n v="0"/>
    <n v="0"/>
    <n v="0"/>
    <n v="0"/>
    <n v="0"/>
    <n v="0"/>
    <n v="0"/>
    <n v="3195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5"/>
    <s v=" ."/>
    <s v="3043974."/>
    <s v="5.ACTIVIDAD"/>
    <s v="5000084. BRINDAR TRATAMIENTO PARA TUBERCULOSIS A PERSONAS CON COMORBILIDAD"/>
    <s v="20. SALUD"/>
    <s v="044. SALUD INDIVIDUAL"/>
    <s v="0097. ATENCION MEDICA ESPECIALIZADA"/>
    <s v="00001"/>
    <s v="0136042. BRINDAR TRATAMIENTO PARA TUBERCULOSIS A PERSONAS CON COMORBILIDAD"/>
    <s v="00394 - TECNICO"/>
    <n v="18"/>
    <n v="7"/>
    <n v="0"/>
    <n v="0"/>
    <x v="83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0"/>
    <n v="0"/>
    <n v="0"/>
    <n v="20001"/>
    <n v="0"/>
    <n v="0"/>
    <n v="0"/>
    <n v="0"/>
    <n v="0"/>
    <n v="0"/>
    <n v="0"/>
    <n v="0"/>
    <n v="0"/>
    <n v="0"/>
    <n v="0"/>
    <n v="20001"/>
    <n v="0"/>
    <n v="0"/>
    <n v="0"/>
    <n v="0"/>
    <n v="0"/>
    <n v="0"/>
    <n v="0"/>
    <n v="0"/>
    <n v="0"/>
    <n v="0"/>
    <n v="0"/>
    <n v="0"/>
    <n v="20001"/>
    <n v="0"/>
    <n v="0"/>
    <n v="0"/>
    <n v="0"/>
    <n v="0"/>
    <n v="0"/>
    <n v="0"/>
    <n v="0"/>
    <n v="0"/>
    <n v="0"/>
    <n v="0"/>
    <n v="20001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11"/>
    <s v=" ."/>
    <s v="3043983."/>
    <s v="5.ACTIVIDAD"/>
    <s v="5000093. EVALUACION, DIAGNOSTICO Y TRATAMIENTO DE ENFERMEDADES METAXENICAS"/>
    <s v="20. SALUD"/>
    <s v="044. SALUD INDIVIDUAL"/>
    <s v="0096. ATENCION MEDICA BASICA"/>
    <s v="00001"/>
    <s v="0043983. DIAGNOSTICO Y TRATAMIENTO DE ENFERMEDADES METAXENICAS"/>
    <s v="00394 - TECNICO"/>
    <n v="6"/>
    <n v="689"/>
    <n v="0"/>
    <n v="0"/>
    <x v="46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2750"/>
    <n v="0"/>
    <n v="22657.7"/>
    <n v="0"/>
    <n v="3000"/>
    <n v="0"/>
    <n v="0"/>
    <n v="0"/>
    <n v="0"/>
    <n v="0"/>
    <n v="0"/>
    <n v="0"/>
    <n v="0"/>
    <n v="2750"/>
    <n v="0"/>
    <n v="3227.7"/>
    <n v="19430"/>
    <n v="0"/>
    <n v="0"/>
    <n v="0"/>
    <n v="0"/>
    <n v="0"/>
    <n v="0"/>
    <n v="0"/>
    <n v="0"/>
    <n v="2750"/>
    <n v="0"/>
    <n v="3227.7"/>
    <n v="19430"/>
    <n v="0"/>
    <n v="0"/>
    <n v="0"/>
    <n v="0"/>
    <n v="0"/>
    <n v="0"/>
    <n v="0"/>
    <n v="0"/>
    <n v="2750"/>
    <n v="0"/>
    <n v="3227.7"/>
    <n v="1943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11"/>
    <s v=" ."/>
    <s v="3043984."/>
    <s v="5.ACTIVIDAD"/>
    <s v="5000094. EVALUACION, DIAGNOSTICO Y TRATAMIENTO DE CASOS DE ENFERMEDADES ZOONOTICAS"/>
    <s v="20. SALUD"/>
    <s v="044. SALUD INDIVIDUAL"/>
    <s v="0096. ATENCION MEDICA BASICA"/>
    <s v="00001"/>
    <s v="0043984. DIAGNOSTICO Y TRATAMIENTO DE CASOS DE ENFERMEDADES ZOONOTICAS"/>
    <s v="00394 - TECNICO"/>
    <n v="6"/>
    <n v="487"/>
    <n v="0"/>
    <n v="0"/>
    <x v="107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0"/>
    <n v="1179"/>
    <n v="24475.200000000001"/>
    <n v="0"/>
    <n v="0"/>
    <n v="0"/>
    <n v="0"/>
    <n v="0"/>
    <n v="0"/>
    <n v="0"/>
    <n v="0"/>
    <n v="0"/>
    <n v="0"/>
    <n v="0"/>
    <n v="1179"/>
    <n v="24475.200000000001"/>
    <n v="0"/>
    <n v="0"/>
    <n v="0"/>
    <n v="0"/>
    <n v="0"/>
    <n v="0"/>
    <n v="0"/>
    <n v="0"/>
    <n v="0"/>
    <n v="0"/>
    <n v="1179"/>
    <n v="24475.200000000001"/>
    <n v="0"/>
    <n v="0"/>
    <n v="0"/>
    <n v="0"/>
    <n v="0"/>
    <n v="0"/>
    <n v="0"/>
    <n v="0"/>
    <n v="0"/>
    <n v="0"/>
    <n v="1179"/>
    <n v="24475.200000000001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2."/>
    <s v="5.ACTIVIDAD"/>
    <s v="5000110. BRINDAR TRATAMIENTO A PACIENTES CON DIAGNOSTICO DE CATARATAS"/>
    <s v="20. SALUD"/>
    <s v="044. SALUD INDIVIDUAL"/>
    <s v="0097. ATENCION MEDICA ESPECIALIZADA"/>
    <s v="00001"/>
    <s v="0135994. BRINDAR TRATAMIENTO A PACIENTES CON DIAGNOSTICO DE CATARATAS"/>
    <s v="00394 - TECNICO"/>
    <n v="810"/>
    <n v="324"/>
    <n v="0"/>
    <n v="0"/>
    <x v="22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0"/>
    <n v="0"/>
    <n v="0"/>
    <n v="175000"/>
    <n v="0"/>
    <n v="0"/>
    <n v="0"/>
    <n v="0"/>
    <n v="0"/>
    <n v="0"/>
    <n v="0"/>
    <n v="0"/>
    <n v="0"/>
    <n v="0"/>
    <n v="0"/>
    <n v="175000"/>
    <n v="0"/>
    <n v="0"/>
    <n v="0"/>
    <n v="0"/>
    <n v="0"/>
    <n v="0"/>
    <n v="0"/>
    <n v="0"/>
    <n v="0"/>
    <n v="0"/>
    <n v="0"/>
    <n v="0"/>
    <n v="175000"/>
    <n v="0"/>
    <n v="0"/>
    <n v="0"/>
    <n v="0"/>
    <n v="0"/>
    <n v="0"/>
    <n v="0"/>
    <n v="0"/>
    <n v="0"/>
    <n v="0"/>
    <n v="0"/>
    <n v="17500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6."/>
    <s v="5.ACTIVIDAD"/>
    <s v="5000114. BRINDAR TRATAMIENTO A PERSONAS CON DIAGNOSTICO DE HIPERTENSION ARTERIAL"/>
    <s v="20. SALUD"/>
    <s v="044. SALUD INDIVIDUAL"/>
    <s v="0097. ATENCION MEDICA ESPECIALIZADA"/>
    <s v="00001"/>
    <s v="0135998. BRINDAR TRATAMIENTO A PERSONAS CON DIAGNOSTICO DE HIPERTENSION ARTERIAL"/>
    <s v="00394 - TECNICO"/>
    <n v="840"/>
    <n v="385"/>
    <n v="0"/>
    <n v="0"/>
    <x v="23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0"/>
    <n v="21210"/>
    <n v="0"/>
    <n v="37900"/>
    <n v="0"/>
    <n v="0"/>
    <n v="0"/>
    <n v="0"/>
    <n v="0"/>
    <n v="0"/>
    <n v="0"/>
    <n v="0"/>
    <n v="0"/>
    <n v="19250"/>
    <n v="1960"/>
    <n v="0"/>
    <n v="37900"/>
    <n v="0"/>
    <n v="0"/>
    <n v="0"/>
    <n v="0"/>
    <n v="0"/>
    <n v="0"/>
    <n v="0"/>
    <n v="0"/>
    <n v="0"/>
    <n v="21210"/>
    <n v="0"/>
    <n v="37900"/>
    <n v="0"/>
    <n v="0"/>
    <n v="0"/>
    <n v="0"/>
    <n v="0"/>
    <n v="0"/>
    <n v="0"/>
    <n v="0"/>
    <n v="0"/>
    <n v="21210"/>
    <n v="0"/>
    <n v="3236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017."/>
    <s v="5.ACTIVIDAD"/>
    <s v="5000115. BRINDAR TRATAMIENTO A PERSONAS CON DIAGNOSTICO DE DIABETES MELLITUS"/>
    <s v="20. SALUD"/>
    <s v="044. SALUD INDIVIDUAL"/>
    <s v="0097. ATENCION MEDICA ESPECIALIZADA"/>
    <s v="00001"/>
    <s v="0135999. BRINDAR TRATAMIENTO A PERSONAS CON DIAGNOSTICO DE DIABETES MELLITUS"/>
    <s v="00394 - TECNICO"/>
    <n v="2780"/>
    <n v="1192"/>
    <n v="0"/>
    <n v="0"/>
    <x v="108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8250"/>
    <n v="15750"/>
    <n v="0"/>
    <n v="9900"/>
    <n v="0"/>
    <n v="0"/>
    <n v="0"/>
    <n v="0"/>
    <n v="0"/>
    <n v="0"/>
    <n v="0"/>
    <n v="0"/>
    <n v="0"/>
    <n v="24000"/>
    <n v="0"/>
    <n v="0"/>
    <n v="9900"/>
    <n v="0"/>
    <n v="0"/>
    <n v="0"/>
    <n v="0"/>
    <n v="0"/>
    <n v="0"/>
    <n v="0"/>
    <n v="0"/>
    <n v="8250"/>
    <n v="15750"/>
    <n v="0"/>
    <n v="9900"/>
    <n v="0"/>
    <n v="0"/>
    <n v="0"/>
    <n v="0"/>
    <n v="0"/>
    <n v="0"/>
    <n v="0"/>
    <n v="0"/>
    <n v="8250"/>
    <n v="15750"/>
    <n v="0"/>
    <n v="990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681."/>
    <s v="5.ACTIVIDAD"/>
    <s v="5006276. ATENCION ESTOMATOLOGICA RECUPERATIVA BASICA"/>
    <s v="20. SALUD"/>
    <s v="044. SALUD INDIVIDUAL"/>
    <s v="0096. ATENCION MEDICA BASICA"/>
    <s v="00001"/>
    <s v="0053295. ATENCION ESTOMATOLOGICA RECUPERATIVA BASICA"/>
    <s v="00394 - TECNICO"/>
    <n v="50"/>
    <n v="5176"/>
    <n v="0"/>
    <n v="0"/>
    <x v="87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0"/>
    <n v="94"/>
    <n v="0"/>
    <n v="129189.22"/>
    <n v="19143.919999999998"/>
    <n v="0"/>
    <n v="0"/>
    <n v="0"/>
    <n v="0"/>
    <n v="0"/>
    <n v="0"/>
    <n v="0"/>
    <n v="0"/>
    <n v="0"/>
    <n v="94"/>
    <n v="68400"/>
    <n v="60789.22"/>
    <n v="0"/>
    <n v="0"/>
    <n v="0"/>
    <n v="0"/>
    <n v="0"/>
    <n v="0"/>
    <n v="0"/>
    <n v="0"/>
    <n v="0"/>
    <n v="0"/>
    <n v="94"/>
    <n v="129189.22"/>
    <n v="0"/>
    <n v="0"/>
    <n v="0"/>
    <n v="0"/>
    <n v="0"/>
    <n v="0"/>
    <n v="0"/>
    <n v="0"/>
    <n v="0"/>
    <n v="0"/>
    <n v="94"/>
    <n v="129189.22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812."/>
    <s v="5.ACTIVIDAD"/>
    <s v="5005992. BRINDAR TRATAMIENTO A NIÑOS PREMATUROS CON DIAGNOSTICO DE RETINOPATIA DE LA PREMATURIDAD (ROP)"/>
    <s v="20. SALUD"/>
    <s v="044. SALUD INDIVIDUAL"/>
    <s v="0097. ATENCION MEDICA ESPECIALIZADA"/>
    <s v="00001"/>
    <s v="0215302. BRINDAR TRATAMIENTO A NIÑOS PREMATUROS CON DIAGNOSTICO DE RETINOPATIA DE LA PREMATURIDAD (ROP)"/>
    <s v="00394 - TECNICO"/>
    <n v="45"/>
    <n v="12"/>
    <n v="0"/>
    <n v="0"/>
    <x v="77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0"/>
    <n v="0"/>
    <n v="0"/>
    <n v="68400"/>
    <n v="22078.16"/>
    <n v="0"/>
    <n v="0"/>
    <n v="0"/>
    <n v="0"/>
    <n v="0"/>
    <n v="0"/>
    <n v="0"/>
    <n v="0"/>
    <n v="0"/>
    <n v="0"/>
    <n v="68400"/>
    <n v="0"/>
    <n v="0"/>
    <n v="0"/>
    <n v="0"/>
    <n v="0"/>
    <n v="0"/>
    <n v="0"/>
    <n v="0"/>
    <n v="0"/>
    <n v="0"/>
    <n v="0"/>
    <n v="0"/>
    <n v="68400"/>
    <n v="0"/>
    <n v="0"/>
    <n v="0"/>
    <n v="0"/>
    <n v="0"/>
    <n v="0"/>
    <n v="0"/>
    <n v="0"/>
    <n v="0"/>
    <n v="0"/>
    <n v="0"/>
    <n v="6840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6"/>
    <s v=" ."/>
    <s v="3000814."/>
    <s v="5.ACTIVIDAD"/>
    <s v="5005994. BRINDAR TRATAMIENTO A PERSONAS CON DIAGNOSTICO DE GLAUCOMA"/>
    <s v="20. SALUD"/>
    <s v="044. SALUD INDIVIDUAL"/>
    <s v="0097. ATENCION MEDICA ESPECIALIZADA"/>
    <s v="00001"/>
    <s v="0215067. BRINDAR TRATAMIENTO A PERSONAS CON DIAGNOSTICO DE GLAUCOMA"/>
    <s v="00394 - TECNICO"/>
    <n v="130"/>
    <n v="65"/>
    <n v="0"/>
    <n v="0"/>
    <x v="110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0"/>
    <n v="12060"/>
    <n v="0"/>
    <n v="177499"/>
    <n v="0"/>
    <n v="0"/>
    <n v="0"/>
    <n v="0"/>
    <n v="0"/>
    <n v="0"/>
    <n v="0"/>
    <n v="0"/>
    <n v="0"/>
    <n v="7800"/>
    <n v="4260"/>
    <n v="177499"/>
    <n v="0"/>
    <n v="0"/>
    <n v="0"/>
    <n v="0"/>
    <n v="0"/>
    <n v="0"/>
    <n v="0"/>
    <n v="0"/>
    <n v="0"/>
    <n v="0"/>
    <n v="7800"/>
    <n v="4260"/>
    <n v="177499"/>
    <n v="0"/>
    <n v="0"/>
    <n v="0"/>
    <n v="0"/>
    <n v="0"/>
    <n v="0"/>
    <n v="0"/>
    <n v="0"/>
    <n v="0"/>
    <n v="7800"/>
    <n v="4260"/>
    <n v="177499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65."/>
    <s v="5.ACTIVIDAD"/>
    <s v="5006012. DIAGNOSTICO DEL CANCER DE CUELLO UTERINO"/>
    <s v="20. SALUD"/>
    <s v="044. SALUD INDIVIDUAL"/>
    <s v="0097. ATENCION MEDICA ESPECIALIZADA"/>
    <s v="00001"/>
    <s v="0215085. DIAGNOSTICO DEL CANCER DE CUELLO UTERINO"/>
    <s v="00393 - TASA"/>
    <n v="100"/>
    <n v="64"/>
    <n v="0"/>
    <n v="0"/>
    <x v="25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0"/>
    <n v="21184"/>
    <n v="0"/>
    <n v="0"/>
    <n v="0"/>
    <n v="0"/>
    <n v="0"/>
    <n v="0"/>
    <n v="0"/>
    <n v="0"/>
    <n v="0"/>
    <n v="0"/>
    <n v="0"/>
    <n v="0"/>
    <n v="0"/>
    <n v="0"/>
    <n v="21184"/>
    <n v="0"/>
    <n v="0"/>
    <n v="0"/>
    <n v="0"/>
    <n v="0"/>
    <n v="0"/>
    <n v="0"/>
    <n v="0"/>
    <n v="0"/>
    <n v="0"/>
    <n v="0"/>
    <n v="21184"/>
    <n v="0"/>
    <n v="0"/>
    <n v="0"/>
    <n v="0"/>
    <n v="0"/>
    <n v="0"/>
    <n v="0"/>
    <n v="0"/>
    <n v="0"/>
    <n v="0"/>
    <n v="0"/>
    <n v="21184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65."/>
    <s v="5.ACTIVIDAD"/>
    <s v="5006013. TRATAMIENTO DEL CANCER DE CUELLO UTERINO"/>
    <s v="20. SALUD"/>
    <s v="044. SALUD INDIVIDUAL"/>
    <s v="0097. ATENCION MEDICA ESPECIALIZADA"/>
    <s v="00001"/>
    <s v="0215086. TRATAMIENTO DEL CANCER DE CUELLO UTERINO"/>
    <s v="00394 - TECNICO"/>
    <n v="88"/>
    <n v="34"/>
    <n v="0"/>
    <n v="0"/>
    <x v="113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0"/>
    <n v="22252.5"/>
    <n v="3050"/>
    <n v="0"/>
    <n v="2450"/>
    <n v="0"/>
    <n v="0"/>
    <n v="0"/>
    <n v="0"/>
    <n v="0"/>
    <n v="0"/>
    <n v="0"/>
    <n v="0"/>
    <n v="0"/>
    <n v="0"/>
    <n v="21240"/>
    <n v="4062.5"/>
    <n v="0"/>
    <n v="0"/>
    <n v="0"/>
    <n v="0"/>
    <n v="0"/>
    <n v="0"/>
    <n v="0"/>
    <n v="0"/>
    <n v="0"/>
    <n v="0"/>
    <n v="150"/>
    <n v="25152.5"/>
    <n v="0"/>
    <n v="0"/>
    <n v="0"/>
    <n v="0"/>
    <n v="0"/>
    <n v="0"/>
    <n v="0"/>
    <n v="0"/>
    <n v="0"/>
    <n v="0"/>
    <n v="150"/>
    <n v="25152.5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66."/>
    <s v="5.ACTIVIDAD"/>
    <s v="5006014. DIAGNOSTICO DEL CANCER DE MAMA"/>
    <s v="20. SALUD"/>
    <s v="044. SALUD INDIVIDUAL"/>
    <s v="0097. ATENCION MEDICA ESPECIALIZADA"/>
    <s v="00001"/>
    <s v="0215087. DIAGNOSTICO DEL CANCER DE MAMA"/>
    <s v="00393 - TASA"/>
    <n v="19"/>
    <n v="14"/>
    <n v="0"/>
    <n v="0"/>
    <x v="114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0"/>
    <n v="2475"/>
    <n v="576.75"/>
    <n v="0"/>
    <n v="0"/>
    <n v="0"/>
    <n v="0"/>
    <n v="0"/>
    <n v="0"/>
    <n v="0"/>
    <n v="0"/>
    <n v="0"/>
    <n v="0"/>
    <n v="0"/>
    <n v="0"/>
    <n v="3051.75"/>
    <n v="0"/>
    <n v="0"/>
    <n v="0"/>
    <n v="0"/>
    <n v="0"/>
    <n v="0"/>
    <n v="0"/>
    <n v="0"/>
    <n v="0"/>
    <n v="0"/>
    <n v="0"/>
    <n v="210"/>
    <n v="2841.75"/>
    <n v="0"/>
    <n v="0"/>
    <n v="0"/>
    <n v="0"/>
    <n v="0"/>
    <n v="0"/>
    <n v="0"/>
    <n v="0"/>
    <n v="0"/>
    <n v="0"/>
    <n v="210"/>
    <n v="2841.75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66."/>
    <s v="5.ACTIVIDAD"/>
    <s v="5006015. TRATAMIENTO DEL CANCER DE MAMA"/>
    <s v="20. SALUD"/>
    <s v="044. SALUD INDIVIDUAL"/>
    <s v="0097. ATENCION MEDICA ESPECIALIZADA"/>
    <s v="00001"/>
    <s v="0215088. TRATAMIENTO DEL CANCER DE MAMA"/>
    <s v="00394 - TECNICO"/>
    <n v="6"/>
    <n v="6"/>
    <n v="0"/>
    <n v="0"/>
    <x v="90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0"/>
    <n v="0"/>
    <n v="0"/>
    <n v="6668.1"/>
    <n v="8600.2000000000007"/>
    <n v="0"/>
    <n v="0"/>
    <n v="0"/>
    <n v="0"/>
    <n v="0"/>
    <n v="0"/>
    <n v="0"/>
    <n v="0"/>
    <n v="0"/>
    <n v="0"/>
    <n v="6668.1"/>
    <n v="0"/>
    <n v="0"/>
    <n v="0"/>
    <n v="0"/>
    <n v="0"/>
    <n v="0"/>
    <n v="0"/>
    <n v="0"/>
    <n v="0"/>
    <n v="0"/>
    <n v="0"/>
    <n v="6668.1"/>
    <n v="0"/>
    <n v="0"/>
    <n v="0"/>
    <n v="0"/>
    <n v="0"/>
    <n v="0"/>
    <n v="0"/>
    <n v="0"/>
    <n v="0"/>
    <n v="0"/>
    <n v="0"/>
    <n v="6668.1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67."/>
    <s v="5.ACTIVIDAD"/>
    <s v="5006016. DIAGNOSTICO DEL CANCER DE ESTOMAGO"/>
    <s v="20. SALUD"/>
    <s v="044. SALUD INDIVIDUAL"/>
    <s v="0097. ATENCION MEDICA ESPECIALIZADA"/>
    <s v="00001"/>
    <s v="0215089. DIAGNOSTICO DEL CANCER DE ESTOMAGO"/>
    <s v="00393 - TASA"/>
    <n v="78"/>
    <n v="46"/>
    <n v="0"/>
    <n v="0"/>
    <x v="115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0"/>
    <n v="0"/>
    <n v="9605"/>
    <n v="0"/>
    <n v="0"/>
    <n v="0"/>
    <n v="0"/>
    <n v="0"/>
    <n v="0"/>
    <n v="0"/>
    <n v="0"/>
    <n v="0"/>
    <n v="0"/>
    <n v="0"/>
    <n v="9590"/>
    <n v="15"/>
    <n v="0"/>
    <n v="0"/>
    <n v="0"/>
    <n v="0"/>
    <n v="0"/>
    <n v="0"/>
    <n v="0"/>
    <n v="0"/>
    <n v="0"/>
    <n v="0"/>
    <n v="9590"/>
    <n v="15"/>
    <n v="0"/>
    <n v="0"/>
    <n v="0"/>
    <n v="0"/>
    <n v="0"/>
    <n v="0"/>
    <n v="0"/>
    <n v="0"/>
    <n v="0"/>
    <n v="0"/>
    <n v="9590"/>
    <n v="15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70."/>
    <s v="5.ACTIVIDAD"/>
    <s v="5006022. DIAGNOSTICO DEL CANCER DE COLON Y RECTO"/>
    <s v="20. SALUD"/>
    <s v="044. SALUD INDIVIDUAL"/>
    <s v="0097. ATENCION MEDICA ESPECIALIZADA"/>
    <s v="00001"/>
    <s v="0215095. DIAGNOSTICO DEL CANCER DE COLON Y RECTO"/>
    <s v="00393 - TASA"/>
    <n v="15"/>
    <n v="23"/>
    <n v="0"/>
    <n v="0"/>
    <x v="117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0"/>
    <n v="8000"/>
    <n v="0"/>
    <n v="812"/>
    <n v="0"/>
    <n v="0"/>
    <n v="0"/>
    <n v="0"/>
    <n v="0"/>
    <n v="0"/>
    <n v="0"/>
    <n v="0"/>
    <n v="0"/>
    <n v="8000"/>
    <n v="0"/>
    <n v="812"/>
    <n v="0"/>
    <n v="0"/>
    <n v="0"/>
    <n v="0"/>
    <n v="0"/>
    <n v="0"/>
    <n v="0"/>
    <n v="0"/>
    <n v="0"/>
    <n v="0"/>
    <n v="8000"/>
    <n v="812"/>
    <n v="0"/>
    <n v="0"/>
    <n v="0"/>
    <n v="0"/>
    <n v="0"/>
    <n v="0"/>
    <n v="0"/>
    <n v="0"/>
    <n v="0"/>
    <n v="0"/>
    <n v="8000"/>
    <n v="812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72."/>
    <s v="5.ACTIVIDAD"/>
    <s v="5006026. DIAGNOSTICO DE LEUCEMIA"/>
    <s v="20. SALUD"/>
    <s v="044. SALUD INDIVIDUAL"/>
    <s v="0097. ATENCION MEDICA ESPECIALIZADA"/>
    <s v="00001"/>
    <s v="0215099. DIAGNOSTICO DE LEUCEMIA"/>
    <s v="00393 - TASA"/>
    <n v="17"/>
    <n v="15"/>
    <n v="0"/>
    <n v="0"/>
    <x v="94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37250"/>
    <n v="38204.050000000003"/>
    <n v="0"/>
    <n v="0"/>
    <n v="10764"/>
    <n v="0"/>
    <n v="0"/>
    <n v="0"/>
    <n v="0"/>
    <n v="0"/>
    <n v="0"/>
    <n v="0"/>
    <n v="0"/>
    <n v="69694.05"/>
    <n v="5760"/>
    <n v="0"/>
    <n v="0"/>
    <n v="0"/>
    <n v="0"/>
    <n v="0"/>
    <n v="0"/>
    <n v="0"/>
    <n v="0"/>
    <n v="0"/>
    <n v="0"/>
    <n v="37250"/>
    <n v="32444.05"/>
    <n v="5760"/>
    <n v="0"/>
    <n v="0"/>
    <n v="0"/>
    <n v="0"/>
    <n v="0"/>
    <n v="0"/>
    <n v="0"/>
    <n v="0"/>
    <n v="0"/>
    <n v="37250"/>
    <n v="32444.05"/>
    <n v="576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72."/>
    <s v="5.ACTIVIDAD"/>
    <s v="5006027. TRATAMIENTO DE LEUCEMIA"/>
    <s v="20. SALUD"/>
    <s v="044. SALUD INDIVIDUAL"/>
    <s v="0097. ATENCION MEDICA ESPECIALIZADA"/>
    <s v="00001"/>
    <s v="0215100. TRATAMIENTO DE LEUCEMIA"/>
    <s v="00394 - TECNICO"/>
    <n v="13"/>
    <n v="7"/>
    <n v="0"/>
    <n v="0"/>
    <x v="119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0"/>
    <n v="25600"/>
    <n v="10978.5"/>
    <n v="307.5"/>
    <n v="0"/>
    <n v="0"/>
    <n v="0"/>
    <n v="0"/>
    <n v="0"/>
    <n v="0"/>
    <n v="0"/>
    <n v="0"/>
    <n v="0"/>
    <n v="0"/>
    <n v="29378.5"/>
    <n v="0"/>
    <n v="7200"/>
    <n v="0"/>
    <n v="0"/>
    <n v="0"/>
    <n v="0"/>
    <n v="0"/>
    <n v="0"/>
    <n v="0"/>
    <n v="0"/>
    <n v="0"/>
    <n v="29378.5"/>
    <n v="0"/>
    <n v="7200"/>
    <n v="0"/>
    <n v="0"/>
    <n v="0"/>
    <n v="0"/>
    <n v="0"/>
    <n v="0"/>
    <n v="0"/>
    <n v="0"/>
    <n v="0"/>
    <n v="29378.5"/>
    <n v="0"/>
    <n v="720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7"/>
    <s v=" ."/>
    <s v="3000373."/>
    <s v="5.ACTIVIDAD"/>
    <s v="5006028. DIAGNOSTICO DE LINFOMA"/>
    <s v="20. SALUD"/>
    <s v="044. SALUD INDIVIDUAL"/>
    <s v="0097. ATENCION MEDICA ESPECIALIZADA"/>
    <s v="00001"/>
    <s v="0215101. DIAGNOSTICO DE LINFOMA"/>
    <s v="00393 - TASA"/>
    <n v="6"/>
    <n v="9"/>
    <n v="0"/>
    <n v="0"/>
    <x v="120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0"/>
    <n v="3395"/>
    <n v="840"/>
    <n v="0"/>
    <n v="0"/>
    <n v="0"/>
    <n v="0"/>
    <n v="0"/>
    <n v="0"/>
    <n v="0"/>
    <n v="0"/>
    <n v="0"/>
    <n v="0"/>
    <n v="3395"/>
    <n v="0"/>
    <n v="840"/>
    <n v="0"/>
    <n v="0"/>
    <n v="0"/>
    <n v="0"/>
    <n v="0"/>
    <n v="0"/>
    <n v="0"/>
    <n v="0"/>
    <n v="0"/>
    <n v="0"/>
    <n v="3395"/>
    <n v="840"/>
    <n v="0"/>
    <n v="0"/>
    <n v="0"/>
    <n v="0"/>
    <n v="0"/>
    <n v="0"/>
    <n v="0"/>
    <n v="0"/>
    <n v="0"/>
    <n v="0"/>
    <n v="3395"/>
    <n v="84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3. ATENCION DE LA EMERGENCIA Y URGENCIA ESPECIALIZADA"/>
    <s v="20. SALUD"/>
    <s v="044. SALUD INDIVIDUAL"/>
    <s v="0097. ATENCION MEDICA ESPECIALIZADA"/>
    <s v="00001"/>
    <s v="0188299. ATENCION DE LA EMERGENCIA Y URGENCIA ESPECIALIZADA"/>
    <s v="00006 - ATENCION"/>
    <n v="25000"/>
    <n v="12500"/>
    <n v="0"/>
    <n v="0"/>
    <x v="28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24750"/>
    <n v="17331.740000000002"/>
    <n v="12649"/>
    <n v="17500"/>
    <n v="23700"/>
    <n v="0"/>
    <n v="0"/>
    <n v="0"/>
    <n v="0"/>
    <n v="0"/>
    <n v="0"/>
    <n v="0"/>
    <n v="0"/>
    <n v="42081.74"/>
    <n v="12649"/>
    <n v="0"/>
    <n v="25000"/>
    <n v="0"/>
    <n v="0"/>
    <n v="0"/>
    <n v="0"/>
    <n v="0"/>
    <n v="0"/>
    <n v="0"/>
    <n v="0"/>
    <n v="24750"/>
    <n v="17331.740000000002"/>
    <n v="12649"/>
    <n v="17500"/>
    <n v="0"/>
    <n v="0"/>
    <n v="0"/>
    <n v="0"/>
    <n v="0"/>
    <n v="0"/>
    <n v="0"/>
    <n v="0"/>
    <n v="24750"/>
    <n v="17331.740000000002"/>
    <n v="12649"/>
    <n v="1750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4. ATENCION DE LA EMERGENCIA DE CUIDADOS INTENSIVOS"/>
    <s v="20. SALUD"/>
    <s v="044. SALUD INDIVIDUAL"/>
    <s v="0097. ATENCION MEDICA ESPECIALIZADA"/>
    <s v="00001"/>
    <s v="0188300. ATENCION DE LA EMERGENCIA DE CUIDADOS INTENSIVOS"/>
    <s v="00006 - ATENCION"/>
    <n v="400"/>
    <n v="200"/>
    <n v="0"/>
    <n v="0"/>
    <x v="29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3260"/>
    <n v="8500"/>
    <n v="0"/>
    <n v="22312.3"/>
    <n v="27209.119999999999"/>
    <n v="0"/>
    <n v="0"/>
    <n v="0"/>
    <n v="0"/>
    <n v="0"/>
    <n v="0"/>
    <n v="0"/>
    <n v="0"/>
    <n v="11760"/>
    <n v="0"/>
    <n v="0"/>
    <n v="0"/>
    <n v="0"/>
    <n v="0"/>
    <n v="0"/>
    <n v="0"/>
    <n v="0"/>
    <n v="0"/>
    <n v="0"/>
    <n v="0"/>
    <n v="3260"/>
    <n v="8500"/>
    <n v="0"/>
    <n v="0"/>
    <n v="0"/>
    <n v="0"/>
    <n v="0"/>
    <n v="0"/>
    <n v="0"/>
    <n v="0"/>
    <n v="0"/>
    <n v="0"/>
    <n v="3260"/>
    <n v="8500"/>
    <n v="0"/>
    <n v="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5. ATENCION DE LA EMERGENCIA QUIRURGICA"/>
    <s v="20. SALUD"/>
    <s v="044. SALUD INDIVIDUAL"/>
    <s v="0097. ATENCION MEDICA ESPECIALIZADA"/>
    <s v="00001"/>
    <s v="0188301. ATENCION DE LA EMERGENCIA QUIRURGICA"/>
    <s v="00006 - ATENCION"/>
    <n v="30000"/>
    <n v="1500"/>
    <n v="0"/>
    <n v="0"/>
    <x v="30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9016.2000000000007"/>
    <n v="32421.8"/>
    <n v="4350"/>
    <n v="5100"/>
    <n v="14774"/>
    <n v="0"/>
    <n v="0"/>
    <n v="0"/>
    <n v="0"/>
    <n v="0"/>
    <n v="0"/>
    <n v="0"/>
    <n v="8728.2000000000007"/>
    <n v="32709.8"/>
    <n v="0"/>
    <n v="0"/>
    <n v="24224"/>
    <n v="0"/>
    <n v="0"/>
    <n v="0"/>
    <n v="0"/>
    <n v="0"/>
    <n v="0"/>
    <n v="0"/>
    <n v="0"/>
    <n v="21328.2"/>
    <n v="20109.8"/>
    <n v="0"/>
    <n v="9450"/>
    <n v="0"/>
    <n v="0"/>
    <n v="0"/>
    <n v="0"/>
    <n v="0"/>
    <n v="0"/>
    <n v="0"/>
    <n v="0"/>
    <n v="21328.2"/>
    <n v="20109.8"/>
    <n v="0"/>
    <n v="9450"/>
    <n v="0"/>
    <n v="0"/>
    <n v="0"/>
    <n v="0"/>
    <n v="0"/>
    <x v="2"/>
    <x v="36"/>
    <x v="36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30000"/>
    <n v="75000"/>
    <n v="0"/>
    <n v="0"/>
    <x v="36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74833.2"/>
    <n v="1054641"/>
    <n v="74511.600000000006"/>
    <n v="30113.8"/>
    <n v="123867.12"/>
    <n v="0"/>
    <n v="0"/>
    <n v="0"/>
    <n v="0"/>
    <n v="0"/>
    <n v="0"/>
    <n v="0"/>
    <n v="0"/>
    <n v="781979"/>
    <n v="138432.79999999999"/>
    <n v="313687.8"/>
    <n v="0"/>
    <n v="0"/>
    <n v="0"/>
    <n v="0"/>
    <n v="0"/>
    <n v="0"/>
    <n v="0"/>
    <n v="0"/>
    <n v="0"/>
    <n v="476669"/>
    <n v="393969.2"/>
    <n v="363461.4"/>
    <n v="0"/>
    <n v="0"/>
    <n v="0"/>
    <n v="0"/>
    <n v="0"/>
    <n v="0"/>
    <n v="0"/>
    <n v="0"/>
    <n v="0"/>
    <n v="476669"/>
    <n v="393969.2"/>
    <n v="363461.4"/>
    <n v="0"/>
    <n v="0"/>
    <n v="0"/>
    <n v="0"/>
    <n v="0"/>
    <n v="0"/>
    <x v="2"/>
    <x v="36"/>
    <x v="36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2"/>
    <s v="0331977. AFILIACIÓN Y PRESTACIÓN DE SALUD PARA ASEGURAMIENTO UNIVERSAL"/>
    <s v="00006 - ATENCION"/>
    <n v="0"/>
    <n v="1"/>
    <n v="0"/>
    <n v="0"/>
    <x v="134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18. SUBCUENTA - TRANSFERENCIAS FINANCIERAS"/>
    <n v="0"/>
    <n v="0"/>
    <n v="0"/>
    <n v="0"/>
    <n v="0"/>
    <n v="0"/>
    <n v="0"/>
    <n v="0"/>
    <n v="0"/>
    <n v="0"/>
    <n v="0"/>
    <n v="293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1"/>
    <n v="1384"/>
    <n v="0"/>
    <n v="0"/>
    <x v="48"/>
    <s v="05. AYACUCHO"/>
    <s v="01. HUAMANGA"/>
    <s v="01. AYACUCHO"/>
    <x v="2"/>
    <s v="13. DONACIONES Y TRANSFERENCIAS"/>
    <s v="5. GASTOS CORRIENTES"/>
    <s v="2. GASTOS PRESUPUESTARIOS"/>
    <x v="2"/>
    <s v=" 1. COMPRA DE BIENES"/>
    <s v="99. COMPRA DE OTROS BIENES"/>
    <s v=" 1. COMPRA DE OTROS BIENES"/>
    <s v=" 5. ADQUISICIÓN DE BIENES PARA PRESTACIÓN FUNERARIA"/>
    <s v="18. SUBCUENTA - TRANSFERENCIAS FINANCIERAS"/>
    <n v="0"/>
    <n v="0"/>
    <n v="0"/>
    <n v="0"/>
    <n v="0"/>
    <n v="0"/>
    <n v="0"/>
    <n v="0"/>
    <n v="0"/>
    <n v="20137.599999999999"/>
    <n v="0"/>
    <n v="0"/>
    <n v="0"/>
    <n v="0"/>
    <n v="0"/>
    <n v="0"/>
    <n v="0"/>
    <n v="0"/>
    <n v="0"/>
    <n v="0"/>
    <n v="0"/>
    <n v="0"/>
    <n v="20137.599999999999"/>
    <n v="0"/>
    <n v="0"/>
    <n v="0"/>
    <n v="0"/>
    <n v="0"/>
    <n v="0"/>
    <n v="0"/>
    <n v="0"/>
    <n v="0"/>
    <n v="0"/>
    <n v="0"/>
    <n v="0"/>
    <n v="20137.599999999999"/>
    <n v="0"/>
    <n v="0"/>
    <n v="0"/>
    <n v="0"/>
    <n v="0"/>
    <n v="0"/>
    <n v="0"/>
    <n v="0"/>
    <n v="0"/>
    <n v="0"/>
    <n v="0"/>
    <n v="20137.599999999999"/>
    <n v="0"/>
    <n v="0"/>
    <n v="0"/>
    <n v="0"/>
    <n v="0"/>
    <x v="2"/>
    <x v="105"/>
    <x v="105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801."/>
    <s v="5.ACTIVIDAD"/>
    <s v="5006279. SERVICIO DE TRANSPORTE ASISTIDO DE LA EMERGENCIA Y URGENCIA"/>
    <s v="20. SALUD"/>
    <s v="044. SALUD INDIVIDUAL"/>
    <s v="0096. ATENCION MEDICA BASICA"/>
    <s v="00001"/>
    <s v="0289988. SERVICIO DE TRANSPORTE ASISTIDO DE LA EMERGENCIA Y URGENCIA"/>
    <s v="00006 - ATENCION"/>
    <n v="50"/>
    <n v="250"/>
    <n v="0"/>
    <n v="0"/>
    <x v="65"/>
    <s v="05. AYACUCHO"/>
    <s v="01. HUAMANGA"/>
    <s v="01. AYACUCHO"/>
    <x v="2"/>
    <s v="13. DONACIONES Y TRANSFERENCIAS"/>
    <s v="5. GASTOS CORRIENTES"/>
    <s v="2. GASTOS PRESUPUESTARIOS"/>
    <x v="2"/>
    <s v=" 2. CONTRATACION DE SERVICIOS"/>
    <s v=" 1. VIAJES"/>
    <s v=" 2. VIAJES DOMESTICOS"/>
    <s v=" 2. VIATICOS Y ASIGNACIONES POR COMISION DE SERVICIO"/>
    <s v="18. SUBCUENTA - TRANSFERENCIAS FINANCIERAS"/>
    <n v="0"/>
    <n v="0"/>
    <n v="0"/>
    <n v="0"/>
    <n v="0"/>
    <n v="0"/>
    <n v="0"/>
    <n v="14560"/>
    <n v="0"/>
    <n v="0"/>
    <n v="0"/>
    <n v="54080"/>
    <n v="0"/>
    <n v="0"/>
    <n v="0"/>
    <n v="0"/>
    <n v="0"/>
    <n v="0"/>
    <n v="0"/>
    <n v="14560"/>
    <n v="0"/>
    <n v="0"/>
    <n v="0"/>
    <n v="54080"/>
    <n v="0"/>
    <n v="0"/>
    <n v="0"/>
    <n v="0"/>
    <n v="0"/>
    <n v="0"/>
    <n v="0"/>
    <n v="0"/>
    <n v="14560"/>
    <n v="0"/>
    <n v="0"/>
    <n v="21320"/>
    <n v="0"/>
    <n v="0"/>
    <n v="0"/>
    <n v="0"/>
    <n v="0"/>
    <n v="0"/>
    <n v="0"/>
    <n v="0"/>
    <n v="14560"/>
    <n v="0"/>
    <n v="0"/>
    <n v="21320"/>
    <n v="0"/>
    <n v="0"/>
    <n v="0"/>
    <n v="0"/>
    <n v="0"/>
    <x v="2"/>
    <x v="45"/>
    <x v="45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30000"/>
    <n v="75000"/>
    <n v="0"/>
    <n v="0"/>
    <x v="36"/>
    <s v="05. AYACUCHO"/>
    <s v="01. HUAMANGA"/>
    <s v="01. AYACUCHO"/>
    <x v="2"/>
    <s v="13. DONACIONES Y TRANSFERENCIAS"/>
    <s v="5. GASTOS CORRIENTES"/>
    <s v="2. GASTOS PRESUPUESTARIOS"/>
    <x v="2"/>
    <s v=" 2. CONTRATACION DE SERVICIOS"/>
    <s v=" 2. SERVICIOS BASICOS, COMUNICACIONES, PUBLICIDAD Y DIFUSION"/>
    <s v=" 3. SERVICIOS DE MENSAJERIA, TELECOMUNICACIONES Y OTROS AFINES"/>
    <s v=" 1. CORREOS Y SERVICIOS DE MENSAJERIA"/>
    <s v="18. SUBCUENTA - TRANSFERENCIAS FINANCIERAS"/>
    <n v="0"/>
    <n v="0"/>
    <n v="0"/>
    <n v="0"/>
    <n v="0"/>
    <n v="0"/>
    <n v="0"/>
    <n v="989"/>
    <n v="978"/>
    <n v="5621"/>
    <n v="1028"/>
    <n v="1458"/>
    <n v="0"/>
    <n v="0"/>
    <n v="0"/>
    <n v="0"/>
    <n v="0"/>
    <n v="0"/>
    <n v="0"/>
    <n v="0"/>
    <n v="1967"/>
    <n v="0"/>
    <n v="6649"/>
    <n v="0"/>
    <n v="0"/>
    <n v="0"/>
    <n v="0"/>
    <n v="0"/>
    <n v="0"/>
    <n v="0"/>
    <n v="0"/>
    <n v="0"/>
    <n v="0"/>
    <n v="1967"/>
    <n v="5621"/>
    <n v="1028"/>
    <n v="0"/>
    <n v="0"/>
    <n v="0"/>
    <n v="0"/>
    <n v="0"/>
    <n v="0"/>
    <n v="0"/>
    <n v="0"/>
    <n v="0"/>
    <n v="1967"/>
    <n v="5621"/>
    <n v="1028"/>
    <n v="0"/>
    <n v="0"/>
    <n v="0"/>
    <n v="0"/>
    <n v="0"/>
    <x v="2"/>
    <x v="51"/>
    <x v="51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30000"/>
    <n v="75000"/>
    <n v="0"/>
    <n v="0"/>
    <x v="36"/>
    <s v="05. AYACUCHO"/>
    <s v="01. HUAMANGA"/>
    <s v="01. AYACUCHO"/>
    <x v="2"/>
    <s v="13. DONACIONES Y TRANSFERENCIAS"/>
    <s v="5. GASTOS CORRIENTES"/>
    <s v="2. GASTOS PRESUPUESTARIOS"/>
    <x v="2"/>
    <s v=" 2. CONTRATACION DE SERVICIOS"/>
    <s v=" 6. SERVICIOS ADMINISTRATIVOS, FINANCIEROS Y DE SEGUROS"/>
    <s v=" 3. SEGUROS"/>
    <s v=" 3. SEGURO OBLIGATORIO ACCIDENTES DE TRANSITO (SOAT)"/>
    <s v="18. SUBCUENTA - TRANSFERENCIAS FINANCIERAS"/>
    <n v="0"/>
    <n v="0"/>
    <n v="0"/>
    <n v="0"/>
    <n v="0"/>
    <n v="0"/>
    <n v="0"/>
    <n v="0"/>
    <n v="700"/>
    <n v="0"/>
    <n v="0"/>
    <n v="0"/>
    <n v="0"/>
    <n v="0"/>
    <n v="0"/>
    <n v="0"/>
    <n v="0"/>
    <n v="0"/>
    <n v="0"/>
    <n v="0"/>
    <n v="700"/>
    <n v="0"/>
    <n v="0"/>
    <n v="0"/>
    <n v="0"/>
    <n v="0"/>
    <n v="0"/>
    <n v="0"/>
    <n v="0"/>
    <n v="0"/>
    <n v="0"/>
    <n v="0"/>
    <n v="0"/>
    <n v="700"/>
    <n v="0"/>
    <n v="0"/>
    <n v="0"/>
    <n v="0"/>
    <n v="0"/>
    <n v="0"/>
    <n v="0"/>
    <n v="0"/>
    <n v="0"/>
    <n v="0"/>
    <n v="0"/>
    <n v="700"/>
    <n v="0"/>
    <n v="0"/>
    <n v="0"/>
    <n v="0"/>
    <n v="0"/>
    <n v="0"/>
    <n v="0"/>
    <x v="2"/>
    <x v="106"/>
    <x v="106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801."/>
    <s v="5.ACTIVIDAD"/>
    <s v="5006279. SERVICIO DE TRANSPORTE ASISTIDO DE LA EMERGENCIA Y URGENCIA"/>
    <s v="20. SALUD"/>
    <s v="044. SALUD INDIVIDUAL"/>
    <s v="0096. ATENCION MEDICA BASICA"/>
    <s v="00001"/>
    <s v="0289988. SERVICIO DE TRANSPORTE ASISTIDO DE LA EMERGENCIA Y URGENCIA"/>
    <s v="00006 - ATENCION"/>
    <n v="50"/>
    <n v="250"/>
    <n v="0"/>
    <n v="0"/>
    <x v="65"/>
    <s v="05. AYACUCHO"/>
    <s v="01. HUAMANGA"/>
    <s v="01. AYACUCHO"/>
    <x v="2"/>
    <s v="13. DONACIONES Y TRANSFERENCIAS"/>
    <s v="5. GASTOS CORRIENTES"/>
    <s v="2. GASTOS PRESUPUESTARIOS"/>
    <x v="2"/>
    <s v=" 2. CONTRATACION DE SERVICIOS"/>
    <s v=" 7. SERVICIOS PROFESIONALES Y TECNICOS"/>
    <s v="11. OTROS SERVICIOS"/>
    <s v=" 2. TRANSPORTE Y TRASLADO DE CARGA, BIENES Y MATERIALES"/>
    <s v="18. SUBCUENTA - TRANSFERENCIAS FINANCIERAS"/>
    <n v="0"/>
    <n v="0"/>
    <n v="0"/>
    <n v="0"/>
    <n v="0"/>
    <n v="0"/>
    <n v="0"/>
    <n v="3550"/>
    <n v="0"/>
    <n v="0"/>
    <n v="3770"/>
    <n v="0"/>
    <n v="0"/>
    <n v="0"/>
    <n v="0"/>
    <n v="0"/>
    <n v="0"/>
    <n v="0"/>
    <n v="0"/>
    <n v="0"/>
    <n v="3550"/>
    <n v="0"/>
    <n v="3770"/>
    <n v="0"/>
    <n v="0"/>
    <n v="0"/>
    <n v="0"/>
    <n v="0"/>
    <n v="0"/>
    <n v="0"/>
    <n v="0"/>
    <n v="0"/>
    <n v="3550"/>
    <n v="0"/>
    <n v="3770"/>
    <n v="0"/>
    <n v="0"/>
    <n v="0"/>
    <n v="0"/>
    <n v="0"/>
    <n v="0"/>
    <n v="0"/>
    <n v="0"/>
    <n v="0"/>
    <n v="3550"/>
    <n v="0"/>
    <n v="3770"/>
    <n v="0"/>
    <n v="0"/>
    <n v="0"/>
    <n v="0"/>
    <n v="0"/>
    <n v="0"/>
    <x v="2"/>
    <x v="64"/>
    <x v="64"/>
    <x v="0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30000"/>
    <n v="75000"/>
    <n v="0"/>
    <n v="0"/>
    <x v="36"/>
    <s v="05. AYACUCHO"/>
    <s v="01. HUAMANGA"/>
    <s v="01. AYACUCHO"/>
    <x v="2"/>
    <s v="13. DONACIONES Y TRANSFERENCIAS"/>
    <s v="5. GASTOS CORRIENTES"/>
    <s v="2. GASTOS PRESUPUESTARIOS"/>
    <x v="2"/>
    <s v=" 2. CONTRATACION DE SERVICIOS"/>
    <s v=" 7. SERVICIOS PROFESIONALES Y TECNICOS"/>
    <s v="11. OTROS SERVICIOS"/>
    <s v=" 6. SERVICIO DE IMPRESIONES, ENCUADERNACION Y EMPASTADO"/>
    <s v="18. SUBCUENTA - TRANSFERENCIAS FINANCIERAS"/>
    <n v="0"/>
    <n v="0"/>
    <n v="0"/>
    <n v="0"/>
    <n v="0"/>
    <n v="0"/>
    <n v="0"/>
    <n v="0"/>
    <n v="25286"/>
    <n v="0"/>
    <n v="0"/>
    <n v="0"/>
    <n v="0"/>
    <n v="0"/>
    <n v="0"/>
    <n v="0"/>
    <n v="0"/>
    <n v="0"/>
    <n v="0"/>
    <n v="0"/>
    <n v="21966"/>
    <n v="0"/>
    <n v="3320"/>
    <n v="0"/>
    <n v="0"/>
    <n v="0"/>
    <n v="0"/>
    <n v="0"/>
    <n v="0"/>
    <n v="0"/>
    <n v="0"/>
    <n v="0"/>
    <n v="0"/>
    <n v="21966"/>
    <n v="720"/>
    <n v="2600"/>
    <n v="0"/>
    <n v="0"/>
    <n v="0"/>
    <n v="0"/>
    <n v="0"/>
    <n v="0"/>
    <n v="0"/>
    <n v="0"/>
    <n v="0"/>
    <n v="21966"/>
    <n v="720"/>
    <n v="2600"/>
    <n v="0"/>
    <n v="0"/>
    <n v="0"/>
    <n v="0"/>
    <n v="0"/>
    <x v="2"/>
    <x v="66"/>
    <x v="66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1"/>
    <n v="1384"/>
    <n v="0"/>
    <n v="0"/>
    <x v="48"/>
    <s v="05. AYACUCHO"/>
    <s v="01. HUAMANGA"/>
    <s v="01. AYACUCHO"/>
    <x v="2"/>
    <s v="13. DONACIONES Y TRANSFERENCIAS"/>
    <s v="5. GASTOS CORRIENTES"/>
    <s v="2. GASTOS PRESUPUESTARIOS"/>
    <x v="2"/>
    <s v=" 2. CONTRATACION DE SERVICIOS"/>
    <s v=" 7. SERVICIOS PROFESIONALES Y TECNICOS"/>
    <s v="11. OTROS SERVICIOS"/>
    <s v=" 7. PRESTACION FUNERARIA"/>
    <s v="18. SUBCUENTA - TRANSFERENCIAS FINANCIERAS"/>
    <n v="0"/>
    <n v="0"/>
    <n v="0"/>
    <n v="0"/>
    <n v="0"/>
    <n v="0"/>
    <n v="0"/>
    <n v="0"/>
    <n v="78595"/>
    <n v="0"/>
    <n v="0"/>
    <n v="0"/>
    <n v="0"/>
    <n v="0"/>
    <n v="0"/>
    <n v="0"/>
    <n v="0"/>
    <n v="0"/>
    <n v="0"/>
    <n v="0"/>
    <n v="2189"/>
    <n v="76406"/>
    <n v="0"/>
    <n v="0"/>
    <n v="0"/>
    <n v="0"/>
    <n v="0"/>
    <n v="0"/>
    <n v="0"/>
    <n v="0"/>
    <n v="0"/>
    <n v="0"/>
    <n v="0"/>
    <n v="25992"/>
    <n v="52603"/>
    <n v="0"/>
    <n v="0"/>
    <n v="0"/>
    <n v="0"/>
    <n v="0"/>
    <n v="0"/>
    <n v="0"/>
    <n v="0"/>
    <n v="0"/>
    <n v="0"/>
    <n v="25992"/>
    <n v="50804"/>
    <n v="0"/>
    <n v="0"/>
    <n v="0"/>
    <n v="0"/>
    <n v="0"/>
    <n v="0"/>
    <x v="2"/>
    <x v="107"/>
    <x v="107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30000"/>
    <n v="75000"/>
    <n v="0"/>
    <n v="0"/>
    <x v="36"/>
    <s v="05. AYACUCHO"/>
    <s v="01. HUAMANGA"/>
    <s v="01. AYACUCHO"/>
    <x v="2"/>
    <s v="13. DONACIONES Y TRANSFERENCIAS"/>
    <s v="5. GASTOS CORRIENTES"/>
    <s v="2. GASTOS PRESUPUESTARIOS"/>
    <x v="2"/>
    <s v=" 2. CONTRATACION DE SERVICIOS"/>
    <s v=" 9. LOCACIÓN DE SERVICIOS RELACIONADAS AL ROL DE LA ENTIDAD"/>
    <s v=" 1. LOCACIÓN DE SERVICIOS RELACIONADAS AL ROL DE LA ENTIDAD"/>
    <s v=" 1. LOCACIÓN DE SERVICIOS REALIZADOS POR PERSONAS NATURALES RELACIONADAS AL ROL DE LA ENTIDAD"/>
    <s v="18. SUBCUENTA - TRANSFERENCIAS FINANCIERAS"/>
    <n v="0"/>
    <n v="0"/>
    <n v="0"/>
    <n v="0"/>
    <n v="0"/>
    <n v="0"/>
    <n v="0"/>
    <n v="20250"/>
    <n v="69500"/>
    <n v="19000"/>
    <n v="9000"/>
    <n v="13500"/>
    <n v="0"/>
    <n v="0"/>
    <n v="0"/>
    <n v="0"/>
    <n v="0"/>
    <n v="0"/>
    <n v="0"/>
    <n v="9750"/>
    <n v="76000"/>
    <n v="23000"/>
    <n v="9000"/>
    <n v="10500"/>
    <n v="0"/>
    <n v="0"/>
    <n v="0"/>
    <n v="0"/>
    <n v="0"/>
    <n v="0"/>
    <n v="0"/>
    <n v="7500"/>
    <n v="17750"/>
    <n v="77500"/>
    <n v="6000"/>
    <n v="19500"/>
    <n v="0"/>
    <n v="0"/>
    <n v="0"/>
    <n v="0"/>
    <n v="0"/>
    <n v="0"/>
    <n v="0"/>
    <n v="7500"/>
    <n v="17750"/>
    <n v="77500"/>
    <n v="6000"/>
    <n v="19500"/>
    <n v="0"/>
    <n v="0"/>
    <n v="0"/>
    <n v="0"/>
    <n v="0"/>
    <x v="2"/>
    <x v="71"/>
    <x v="71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30000"/>
    <n v="75000"/>
    <n v="0"/>
    <n v="0"/>
    <x v="36"/>
    <s v="05. AYACUCHO"/>
    <s v="01. HUAMANGA"/>
    <s v="01. AYACUCHO"/>
    <x v="2"/>
    <s v="13. DONACIONES Y TRANSFERENCIAS"/>
    <s v="6. GASTOS DE CAPITAL"/>
    <s v="2. GASTOS PRESUPUESTARIOS"/>
    <x v="3"/>
    <s v=" 3. ADQUISICION DE VEHICULOS, MAQUINARIAS Y OTROS"/>
    <s v=" 2. ADQUISICION DE MAQUINARIAS, EQUIPO Y MOBILIARIO"/>
    <s v=" 3. ADQUISICION DE EQUIPOS INFORMATICOS Y DE COMUNICACIONES"/>
    <s v=" 1. EQUIPOS COMPUTACIONALES Y PERIFERICOS"/>
    <s v="18. SUBCUENTA - TRANSFERENCIAS FINANCIERAS"/>
    <n v="0"/>
    <n v="0"/>
    <n v="0"/>
    <n v="0"/>
    <n v="0"/>
    <n v="0"/>
    <n v="0"/>
    <n v="0"/>
    <n v="1800"/>
    <n v="0"/>
    <n v="0"/>
    <n v="0"/>
    <n v="0"/>
    <n v="0"/>
    <n v="0"/>
    <n v="0"/>
    <n v="0"/>
    <n v="0"/>
    <n v="0"/>
    <n v="0"/>
    <n v="0"/>
    <n v="1800"/>
    <n v="0"/>
    <n v="0"/>
    <n v="0"/>
    <n v="0"/>
    <n v="0"/>
    <n v="0"/>
    <n v="0"/>
    <n v="0"/>
    <n v="0"/>
    <n v="0"/>
    <n v="0"/>
    <n v="1800"/>
    <n v="0"/>
    <n v="0"/>
    <n v="0"/>
    <n v="0"/>
    <n v="0"/>
    <n v="0"/>
    <n v="0"/>
    <n v="0"/>
    <n v="0"/>
    <n v="0"/>
    <n v="0"/>
    <n v="1800"/>
    <n v="0"/>
    <n v="0"/>
    <n v="0"/>
    <n v="0"/>
    <n v="0"/>
    <n v="0"/>
    <n v="0"/>
    <x v="2"/>
    <x v="72"/>
    <x v="72"/>
    <x v="2"/>
    <x v="3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30000"/>
    <n v="75000"/>
    <n v="0"/>
    <n v="0"/>
    <x v="36"/>
    <s v="05. AYACUCHO"/>
    <s v="01. HUAMANGA"/>
    <s v="01. AYACUCHO"/>
    <x v="2"/>
    <s v="13. DONACIONES Y TRANSFERENCIAS"/>
    <s v="5. GASTOS CORRIENTES"/>
    <s v="2. GASTOS PRESUPUESTARIOS"/>
    <x v="2"/>
    <s v=" 1. COMPRA DE BIENES"/>
    <s v=" 8. SUMINISTROS MEDICOS"/>
    <s v=" 2. MATERIAL,INSUMOS,INSTRUMENTAL Y ACCESORIOS MEDICOS,QUIRURGICOS, ODONTOLOGICOS Y DE LABORATORIO"/>
    <s v=" 1. MATERIAL, INSUMOS, INSTRUMENTAL Y ACCESORIOS  MEDICOS, QUIRURGICOS, ODONTOLOGICOS Y DE LABORATORIO"/>
    <s v="N . DONACIONES PARA APOYO PRESUPUESTARI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36"/>
    <x v="36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1563. ATENCION EN HOSPITALIZACION"/>
    <s v="20. SALUD"/>
    <s v="044. SALUD INDIVIDUAL"/>
    <s v="0097. ATENCION MEDICA ESPECIALIZADA"/>
    <s v="00001"/>
    <s v="0000269. ATENCION EN HOSPITALIZACION"/>
    <s v="00006 - ATENCION"/>
    <n v="30000"/>
    <n v="75000"/>
    <n v="0"/>
    <n v="0"/>
    <x v="36"/>
    <s v="05. AYACUCHO"/>
    <s v="01. HUAMANGA"/>
    <s v="01. AYACUCHO"/>
    <x v="2"/>
    <s v="13. DONACIONES Y TRANSFERENCIAS"/>
    <s v="5. GASTOS CORRIENTES"/>
    <s v="2. GASTOS PRESUPUESTARIOS"/>
    <x v="2"/>
    <s v=" 2. CONTRATACION DE SERVICIOS"/>
    <s v=" 9. LOCACIÓN DE SERVICIOS RELACIONADAS AL ROL DE LA ENTIDAD"/>
    <s v=" 1. LOCACIÓN DE SERVICIOS RELACIONADAS AL ROL DE LA ENTIDAD"/>
    <s v=" 1. LOCACIÓN DE SERVICIOS REALIZADOS POR PERSONAS NATURALES RELACIONADAS AL ROL DE LA ENTIDAD"/>
    <s v="N . DONACIONES PARA APOYO PRESUPUESTARI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  <x v="71"/>
    <x v="71"/>
    <x v="2"/>
    <x v="2"/>
    <s v="DT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5467. MANTENIMIENTO PARA EQUIPAMIENTO E INFRAESTRUCTURA HOSPITALARIA"/>
    <s v="20. SALUD"/>
    <s v="044. SALUD INDIVIDUAL"/>
    <s v="0010. INFRAESTRUCTURA Y EQUIPAMIENTO"/>
    <s v="00001"/>
    <s v="0147093. MANTENIMIENTO PARA EQUIPAMIENTO E INFRAESTRUCTURA HOSPITALARIA"/>
    <s v="00001 - ACCION"/>
    <n v="2000"/>
    <n v="1000"/>
    <n v="800"/>
    <n v="800"/>
    <x v="49"/>
    <s v="05. AYACUCHO"/>
    <s v="01. HUAMANGA"/>
    <s v="01. AYACUCHO"/>
    <x v="3"/>
    <s v="18. CANON Y SOBRECANON, REGALIAS, RENTA DE ADUANAS Y PARTICIPACIONES"/>
    <s v="5. GASTOS CORRIENTES"/>
    <s v="2. GASTOS PRESUPUESTARIOS"/>
    <x v="2"/>
    <s v=" 2. CONTRATACION DE SERVICIOS"/>
    <s v=" 4. SERVICIO DE MANTENIMIENTO, ACONDICIONAMIENTO Y  REPARACIONES"/>
    <s v=" 7. DE MAQUINARIAS Y EQUIPOS"/>
    <s v=" 1. DE MAQUINARIAS Y EQUIPOS"/>
    <s v="0 . CANON"/>
    <n v="0"/>
    <n v="10610"/>
    <n v="10610"/>
    <n v="4472"/>
    <n v="4472"/>
    <n v="0"/>
    <n v="0"/>
    <n v="0"/>
    <n v="0"/>
    <n v="0"/>
    <n v="0"/>
    <n v="28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3"/>
    <x v="57"/>
    <x v="57"/>
    <x v="2"/>
    <x v="2"/>
    <s v="ROOC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2768"/>
    <n v="1384"/>
    <n v="1400"/>
    <n v="1400"/>
    <x v="48"/>
    <s v="05. AYACUCHO"/>
    <s v="01. HUAMANGA"/>
    <s v="01. AYACUCHO"/>
    <x v="4"/>
    <s v="19. RECURSOS POR OPERACIONES OFICIALES DE CREDITO"/>
    <s v="5. GASTOS CORRIENTES"/>
    <s v="2. GASTOS PRESUPUESTARIOS"/>
    <x v="0"/>
    <s v=" 1. RETRIBUCIONES Y COMPLEMENTOS EN EFECTIVO"/>
    <s v=" 3. PERSONAL DE LA SALUD"/>
    <s v=" 3. OTRAS RETRIBUCIONES Y COMPLEMENTOS"/>
    <s v=" 9. BONIFICACIÓN EXTRAORDINARIA POR EMERGENCIA SANITARIA"/>
    <s v="0 . ENDEUDAMIENTO EXTERNO"/>
    <n v="0"/>
    <n v="1483920"/>
    <n v="1483920"/>
    <n v="1118160"/>
    <n v="11181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"/>
    <x v="108"/>
    <x v="108"/>
    <x v="2"/>
    <x v="0"/>
    <s v="RD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2. ATENCION DE LA EMERGENCIA Y URGENCIA BASICA"/>
    <s v="20. SALUD"/>
    <s v="044. SALUD INDIVIDUAL"/>
    <s v="0096. ATENCION MEDICA BASICA"/>
    <s v="00001"/>
    <s v="0188298. ATENCION DE LA EMERGENCIA Y URGENCIA BASICA"/>
    <s v="00006 - ATENCION"/>
    <n v="100"/>
    <n v="50"/>
    <n v="1"/>
    <n v="1"/>
    <x v="41"/>
    <s v="05. AYACUCHO"/>
    <s v="01. HUAMANGA"/>
    <s v="01. AYACUCHO"/>
    <x v="4"/>
    <s v="19. RECURSOS POR OPERACIONES OFICIALES DE CREDITO"/>
    <s v="5. GASTOS CORRIENTES"/>
    <s v="2. GASTOS PRESUPUESTARIOS"/>
    <x v="0"/>
    <s v=" 1. RETRIBUCIONES Y COMPLEMENTOS EN EFECTIVO"/>
    <s v=" 3. PERSONAL DE LA SALUD"/>
    <s v=" 3. OTRAS RETRIBUCIONES Y COMPLEMENTOS"/>
    <s v=" 9. BONIFICACIÓN EXTRAORDINARIA POR EMERGENCIA SANITARIA"/>
    <s v="0 . ENDEUDAMIENTO EXTERN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"/>
    <x v="108"/>
    <x v="108"/>
    <x v="0"/>
    <x v="0"/>
    <s v="RD"/>
  </r>
  <r>
    <s v="2021"/>
    <s v="EJECUTORAS DEL GOBIERNO REGIONAL"/>
    <s v="99. GOBIERNOS REGIONALES"/>
    <s v="444. GOBIERNO REGIONAL DEL DEPARTAMENTO DE AYACUCHO"/>
    <s v="401. REGION AYACUCHO-HOSPITAL HUAMANGA"/>
    <s v="001024"/>
    <x v="0"/>
    <s v=" ."/>
    <s v="3000689."/>
    <s v="5.ACTIVIDAD"/>
    <s v="5005154. CERTIFICACION DE INCAPACIDAD PARA EL TRABAJO"/>
    <s v="20. SALUD"/>
    <s v="044. SALUD INDIVIDUAL"/>
    <s v="0097. ATENCION MEDICA ESPECIALIZADA"/>
    <s v="00001"/>
    <s v="0136023. CERTIFICACION DE INCAPACIDAD PARA EL TRABAJO"/>
    <s v="00087 - PERSONA ATENDIDA"/>
    <n v="65"/>
    <n v="33"/>
    <n v="7"/>
    <n v="7"/>
    <x v="137"/>
    <s v="05. AYACUCHO"/>
    <s v="01. HUAMANGA"/>
    <s v="01. AYACUCHO"/>
    <x v="4"/>
    <s v="19. RECURSOS POR OPERACIONES OFICIALES DE CREDITO"/>
    <s v="5. GASTOS CORRIENTES"/>
    <s v="2. GASTOS PRESUPUESTARIOS"/>
    <x v="0"/>
    <s v=" 1. RETRIBUCIONES Y COMPLEMENTOS EN EFECTIVO"/>
    <s v=" 9. GASTOS VARIABLES Y OCASIONALES"/>
    <s v=" 3. OTROS GASTOS VARIABLES Y OCASIONALES"/>
    <s v="10. BONIFICACIÓN EXTRAORDINARIA POR REACTIVACIÓN ECONÓMICA"/>
    <s v="0 . ENDEUDAMIENTO EXTERN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"/>
    <x v="109"/>
    <x v="109"/>
    <x v="0"/>
    <x v="0"/>
    <s v="RD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2768"/>
    <n v="1384"/>
    <n v="1400"/>
    <n v="1400"/>
    <x v="48"/>
    <s v="05. AYACUCHO"/>
    <s v="01. HUAMANGA"/>
    <s v="01. AYACUCHO"/>
    <x v="4"/>
    <s v="19. RECURSOS POR OPERACIONES OFICIALES DE CREDITO"/>
    <s v="5. GASTOS CORRIENTES"/>
    <s v="2. GASTOS PRESUPUESTARIOS"/>
    <x v="2"/>
    <s v=" 2. CONTRATACION DE SERVICIOS"/>
    <s v=" 6. SERVICIOS ADMINISTRATIVOS, FINANCIEROS Y DE SEGUROS"/>
    <s v=" 3. SEGUROS"/>
    <s v=" 4. OTROS SEGUROS PERSONALES"/>
    <s v="0 . ENDEUDAMIENTO EXTERNO"/>
    <n v="0"/>
    <n v="35781"/>
    <n v="35781"/>
    <n v="35781"/>
    <n v="357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"/>
    <x v="59"/>
    <x v="59"/>
    <x v="2"/>
    <x v="2"/>
    <s v="RD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2768"/>
    <n v="1384"/>
    <n v="1400"/>
    <n v="1400"/>
    <x v="48"/>
    <s v="05. AYACUCHO"/>
    <s v="01. HUAMANGA"/>
    <s v="01. AYACUCHO"/>
    <x v="4"/>
    <s v="19. RECURSOS POR OPERACIONES OFICIALES DE CREDITO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ENDEUDAMIENTO EXTERNO"/>
    <n v="0"/>
    <n v="3742366"/>
    <n v="3742366"/>
    <n v="3742366"/>
    <n v="37423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"/>
    <x v="68"/>
    <x v="68"/>
    <x v="2"/>
    <x v="2"/>
    <s v="RD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2. ATENCION DE LA EMERGENCIA Y URGENCIA BASICA"/>
    <s v="20. SALUD"/>
    <s v="044. SALUD INDIVIDUAL"/>
    <s v="0096. ATENCION MEDICA BASICA"/>
    <s v="00001"/>
    <s v="0188298. ATENCION DE LA EMERGENCIA Y URGENCIA BASICA"/>
    <s v="00006 - ATENCION"/>
    <n v="100"/>
    <n v="50"/>
    <n v="1"/>
    <n v="1"/>
    <x v="41"/>
    <s v="05. AYACUCHO"/>
    <s v="01. HUAMANGA"/>
    <s v="01. AYACUCHO"/>
    <x v="4"/>
    <s v="19. RECURSOS POR OPERACIONES OFICIALES DE CREDITO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0 . ENDEUDAMIENTO EXTERN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"/>
    <x v="68"/>
    <x v="68"/>
    <x v="0"/>
    <x v="2"/>
    <s v="RD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2768"/>
    <n v="1384"/>
    <n v="1400"/>
    <n v="1400"/>
    <x v="48"/>
    <s v="05. AYACUCHO"/>
    <s v="01. HUAMANGA"/>
    <s v="01. AYACUCHO"/>
    <x v="4"/>
    <s v="19. RECURSOS POR OPERACIONES OFICIALES DE CREDITO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0 . ENDEUDAMIENTO EXTERNO"/>
    <n v="0"/>
    <n v="160572"/>
    <n v="160572"/>
    <n v="160572"/>
    <n v="1605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"/>
    <x v="69"/>
    <x v="69"/>
    <x v="2"/>
    <x v="2"/>
    <s v="RD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2768"/>
    <n v="1384"/>
    <n v="1400"/>
    <n v="1400"/>
    <x v="48"/>
    <s v="05. AYACUCHO"/>
    <s v="01. HUAMANGA"/>
    <s v="01. AYACUCHO"/>
    <x v="4"/>
    <s v="19. RECURSOS POR OPERACIONES OFICIALES DE CREDITO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0 . ENDEUDAMIENTO EXTERNO"/>
    <n v="0"/>
    <n v="111300"/>
    <n v="111300"/>
    <n v="111300"/>
    <n v="1113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"/>
    <x v="70"/>
    <x v="70"/>
    <x v="2"/>
    <x v="2"/>
    <s v="RD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2768"/>
    <n v="1384"/>
    <n v="1400"/>
    <n v="1400"/>
    <x v="48"/>
    <s v="05. AYACUCHO"/>
    <s v="01. HUAMANGA"/>
    <s v="01. AYACUCHO"/>
    <x v="4"/>
    <s v="19. RECURSOS POR OPERACIONES OFICIALES DE CREDITO"/>
    <s v="5. GASTOS CORRIENTES"/>
    <s v="2. GASTOS PRESUPUESTARIOS"/>
    <x v="2"/>
    <s v=" 2. CONTRATACION DE SERVICIOS"/>
    <s v=" 8. CONTRATO ADMINISTRATIVO DE SERVICIOS"/>
    <s v=" 1. CONTRATO ADMINISTRATIVO DE SERVICIOS"/>
    <s v=" 7. BONIFICACIÓN EXTRAORDINARIA POR EMERGENCIA SANITARIA"/>
    <s v="0 . ENDEUDAMIENTO EXTERNO"/>
    <n v="0"/>
    <n v="853200"/>
    <n v="853200"/>
    <n v="722160"/>
    <n v="7221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"/>
    <x v="110"/>
    <x v="110"/>
    <x v="2"/>
    <x v="2"/>
    <s v="RD"/>
  </r>
  <r>
    <s v="2021"/>
    <s v="EJECUTORAS DEL GOBIERNO REGIONAL"/>
    <s v="99. GOBIERNOS REGIONALES"/>
    <s v="444. GOBIERNO REGIONAL DEL DEPARTAMENTO DE AYACUCHO"/>
    <s v="401. REGION AYACUCHO-HOSPITAL HUAMANGA"/>
    <s v="001024"/>
    <x v="9"/>
    <s v=" ."/>
    <s v="3000686."/>
    <s v="5.ACTIVIDAD"/>
    <s v="5005902. ATENCION DE LA EMERGENCIA Y URGENCIA BASICA"/>
    <s v="20. SALUD"/>
    <s v="044. SALUD INDIVIDUAL"/>
    <s v="0096. ATENCION MEDICA BASICA"/>
    <s v="00001"/>
    <s v="0188298. ATENCION DE LA EMERGENCIA Y URGENCIA BASICA"/>
    <s v="00006 - ATENCION"/>
    <n v="100"/>
    <n v="50"/>
    <n v="1"/>
    <n v="1"/>
    <x v="41"/>
    <s v="05. AYACUCHO"/>
    <s v="01. HUAMANGA"/>
    <s v="01. AYACUCHO"/>
    <x v="4"/>
    <s v="19. RECURSOS POR OPERACIONES OFICIALES DE CREDITO"/>
    <s v="5. GASTOS CORRIENTES"/>
    <s v="2. GASTOS PRESUPUESTARIOS"/>
    <x v="2"/>
    <s v=" 2. CONTRATACION DE SERVICIOS"/>
    <s v=" 8. CONTRATO ADMINISTRATIVO DE SERVICIOS"/>
    <s v=" 1. CONTRATO ADMINISTRATIVO DE SERVICIOS"/>
    <s v=" 7. BONIFICACIÓN EXTRAORDINARIA POR EMERGENCIA SANITARIA"/>
    <s v="0 . ENDEUDAMIENTO EXTERN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"/>
    <x v="110"/>
    <x v="110"/>
    <x v="0"/>
    <x v="2"/>
    <s v="RD"/>
  </r>
  <r>
    <s v="2021"/>
    <s v="EJECUTORAS DEL GOBIERNO REGIONAL"/>
    <s v="99. GOBIERNOS REGIONALES"/>
    <s v="444. GOBIERNO REGIONAL DEL DEPARTAMENTO DE AYACUCHO"/>
    <s v="401. REGION AYACUCHO-HOSPITAL HUAMANGA"/>
    <s v="001024"/>
    <x v="0"/>
    <s v=" ."/>
    <s v="3000689."/>
    <s v="5.ACTIVIDAD"/>
    <s v="5005154. CERTIFICACION DE INCAPACIDAD PARA EL TRABAJO"/>
    <s v="20. SALUD"/>
    <s v="044. SALUD INDIVIDUAL"/>
    <s v="0097. ATENCION MEDICA ESPECIALIZADA"/>
    <s v="00001"/>
    <s v="0136023. CERTIFICACION DE INCAPACIDAD PARA EL TRABAJO"/>
    <s v="00087 - PERSONA ATENDIDA"/>
    <n v="65"/>
    <n v="33"/>
    <n v="7"/>
    <n v="7"/>
    <x v="137"/>
    <s v="05. AYACUCHO"/>
    <s v="01. HUAMANGA"/>
    <s v="01. AYACUCHO"/>
    <x v="4"/>
    <s v="19. RECURSOS POR OPERACIONES OFICIALES DE CREDITO"/>
    <s v="5. GASTOS CORRIENTES"/>
    <s v="2. GASTOS PRESUPUESTARIOS"/>
    <x v="2"/>
    <s v=" 2. CONTRATACION DE SERVICIOS"/>
    <s v=" 8. CONTRATO ADMINISTRATIVO DE SERVICIOS"/>
    <s v=" 1. CONTRATO ADMINISTRATIVO DE SERVICIOS"/>
    <s v=" 8. BONIFICACIÓN EXTRAORDINARIA POR REACTIVACIÓN ECONÓMICA"/>
    <s v="0 . ENDEUDAMIENTO EXTERNO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"/>
    <x v="111"/>
    <x v="111"/>
    <x v="0"/>
    <x v="2"/>
    <s v="RD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1"/>
    <n v="1384"/>
    <n v="0"/>
    <n v="0"/>
    <x v="48"/>
    <s v="05. AYACUCHO"/>
    <s v="01. HUAMANGA"/>
    <s v="01. AYACUCHO"/>
    <x v="4"/>
    <s v="19. RECURSOS POR OPERACIONES OFICIALES DE CREDITO"/>
    <s v="5. GASTOS CORRIENTES"/>
    <s v="2. GASTOS PRESUPUESTARIOS"/>
    <x v="0"/>
    <s v=" 1. RETRIBUCIONES Y COMPLEMENTOS EN EFECTIVO"/>
    <s v=" 3. PERSONAL DE LA SALUD"/>
    <s v=" 3. OTRAS RETRIBUCIONES Y COMPLEMENTOS"/>
    <s v=" 9. BONIFICACIÓN EXTRAORDINARIA POR EMERGENCIA SANITARIA"/>
    <s v="20. SUB CUENTA - EMERGENCIA SANITARIA COVID-19 - ROOC"/>
    <n v="0"/>
    <n v="0"/>
    <n v="0"/>
    <n v="0"/>
    <n v="0"/>
    <n v="0"/>
    <n v="0"/>
    <n v="0"/>
    <n v="714240"/>
    <n v="0"/>
    <n v="0"/>
    <n v="0"/>
    <n v="0"/>
    <n v="0"/>
    <n v="0"/>
    <n v="0"/>
    <n v="0"/>
    <n v="0"/>
    <n v="0"/>
    <n v="0"/>
    <n v="714240"/>
    <n v="0"/>
    <n v="0"/>
    <n v="0"/>
    <n v="0"/>
    <n v="0"/>
    <n v="0"/>
    <n v="0"/>
    <n v="0"/>
    <n v="0"/>
    <n v="0"/>
    <n v="0"/>
    <n v="0"/>
    <n v="701280"/>
    <n v="0"/>
    <n v="0"/>
    <n v="0"/>
    <n v="0"/>
    <n v="0"/>
    <n v="0"/>
    <n v="0"/>
    <n v="0"/>
    <n v="0"/>
    <n v="0"/>
    <n v="0"/>
    <n v="696960"/>
    <n v="2880"/>
    <n v="0"/>
    <n v="0"/>
    <n v="0"/>
    <n v="0"/>
    <n v="0"/>
    <n v="0"/>
    <x v="4"/>
    <x v="108"/>
    <x v="108"/>
    <x v="2"/>
    <x v="0"/>
    <s v="RD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1"/>
    <n v="1384"/>
    <n v="0"/>
    <n v="0"/>
    <x v="48"/>
    <s v="05. AYACUCHO"/>
    <s v="01. HUAMANGA"/>
    <s v="01. AYACUCHO"/>
    <x v="4"/>
    <s v="19. RECURSOS POR OPERACIONES OFICIALES DE CREDITO"/>
    <s v="5. GASTOS CORRIENTES"/>
    <s v="2. GASTOS PRESUPUESTARIOS"/>
    <x v="2"/>
    <s v=" 2. CONTRATACION DE SERVICIOS"/>
    <s v=" 6. SERVICIOS ADMINISTRATIVOS, FINANCIEROS Y DE SEGUROS"/>
    <s v=" 3. SEGUROS"/>
    <s v=" 4. OTROS SEGUROS PERSONALES"/>
    <s v="20. SUB CUENTA - EMERGENCIA SANITARIA COVID-19 - ROOC"/>
    <n v="0"/>
    <n v="0"/>
    <n v="0"/>
    <n v="0"/>
    <n v="0"/>
    <n v="0"/>
    <n v="0"/>
    <n v="0"/>
    <n v="0"/>
    <n v="0"/>
    <n v="0"/>
    <n v="8447"/>
    <n v="0"/>
    <n v="0"/>
    <n v="0"/>
    <n v="0"/>
    <n v="0"/>
    <n v="0"/>
    <n v="0"/>
    <n v="0"/>
    <n v="0"/>
    <n v="0"/>
    <n v="0"/>
    <n v="84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"/>
    <x v="59"/>
    <x v="59"/>
    <x v="2"/>
    <x v="2"/>
    <s v="RD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1"/>
    <n v="1384"/>
    <n v="0"/>
    <n v="0"/>
    <x v="48"/>
    <s v="05. AYACUCHO"/>
    <s v="01. HUAMANGA"/>
    <s v="01. AYACUCHO"/>
    <x v="4"/>
    <s v="19. RECURSOS POR OPERACIONES OFICIALES DE CREDITO"/>
    <s v="5. GASTOS CORRIENTES"/>
    <s v="2. GASTOS PRESUPUESTARIOS"/>
    <x v="2"/>
    <s v=" 2. CONTRATACION DE SERVICIOS"/>
    <s v=" 8. CONTRATO ADMINISTRATIVO DE SERVICIOS"/>
    <s v=" 1. CONTRATO ADMINISTRATIVO DE SERVICIOS"/>
    <s v=" 1. CONTRATO ADMINISTRATIVO DE SERVICIOS"/>
    <s v="20. SUB CUENTA - EMERGENCIA SANITARIA COVID-19 - ROOC"/>
    <n v="0"/>
    <n v="0"/>
    <n v="0"/>
    <n v="0"/>
    <n v="0"/>
    <n v="0"/>
    <n v="0"/>
    <n v="0"/>
    <n v="0"/>
    <n v="0"/>
    <n v="0"/>
    <n v="1391366.42"/>
    <n v="0"/>
    <n v="0"/>
    <n v="0"/>
    <n v="0"/>
    <n v="0"/>
    <n v="0"/>
    <n v="0"/>
    <n v="0"/>
    <n v="0"/>
    <n v="0"/>
    <n v="0"/>
    <n v="1391366.42"/>
    <n v="0"/>
    <n v="0"/>
    <n v="0"/>
    <n v="0"/>
    <n v="0"/>
    <n v="0"/>
    <n v="0"/>
    <n v="0"/>
    <n v="0"/>
    <n v="0"/>
    <n v="0"/>
    <n v="1147768.99"/>
    <n v="0"/>
    <n v="0"/>
    <n v="0"/>
    <n v="0"/>
    <n v="0"/>
    <n v="0"/>
    <n v="0"/>
    <n v="0"/>
    <n v="0"/>
    <n v="0"/>
    <n v="0"/>
    <n v="1147768.99"/>
    <n v="0"/>
    <n v="0"/>
    <n v="0"/>
    <n v="0"/>
    <n v="0"/>
    <x v="4"/>
    <x v="68"/>
    <x v="68"/>
    <x v="2"/>
    <x v="2"/>
    <s v="RD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1"/>
    <n v="1384"/>
    <n v="0"/>
    <n v="0"/>
    <x v="48"/>
    <s v="05. AYACUCHO"/>
    <s v="01. HUAMANGA"/>
    <s v="01. AYACUCHO"/>
    <x v="4"/>
    <s v="19. RECURSOS POR OPERACIONES OFICIALES DE CREDITO"/>
    <s v="5. GASTOS CORRIENTES"/>
    <s v="2. GASTOS PRESUPUESTARIOS"/>
    <x v="2"/>
    <s v=" 2. CONTRATACION DE SERVICIOS"/>
    <s v=" 8. CONTRATO ADMINISTRATIVO DE SERVICIOS"/>
    <s v=" 1. CONTRATO ADMINISTRATIVO DE SERVICIOS"/>
    <s v=" 2. CONTRIBUCIONES A ESSALUD DE C.A.S."/>
    <s v="20. SUB CUENTA - EMERGENCIA SANITARIA COVID-19 - ROOC"/>
    <n v="0"/>
    <n v="0"/>
    <n v="0"/>
    <n v="0"/>
    <n v="0"/>
    <n v="0"/>
    <n v="0"/>
    <n v="0"/>
    <n v="0"/>
    <n v="0"/>
    <n v="0"/>
    <n v="88217"/>
    <n v="0"/>
    <n v="0"/>
    <n v="0"/>
    <n v="0"/>
    <n v="0"/>
    <n v="0"/>
    <n v="0"/>
    <n v="0"/>
    <n v="0"/>
    <n v="0"/>
    <n v="0"/>
    <n v="882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"/>
    <x v="69"/>
    <x v="69"/>
    <x v="2"/>
    <x v="2"/>
    <s v="RD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1"/>
    <n v="1384"/>
    <n v="0"/>
    <n v="0"/>
    <x v="48"/>
    <s v="05. AYACUCHO"/>
    <s v="01. HUAMANGA"/>
    <s v="01. AYACUCHO"/>
    <x v="4"/>
    <s v="19. RECURSOS POR OPERACIONES OFICIALES DE CREDITO"/>
    <s v="5. GASTOS CORRIENTES"/>
    <s v="2. GASTOS PRESUPUESTARIOS"/>
    <x v="2"/>
    <s v=" 2. CONTRATACION DE SERVICIOS"/>
    <s v=" 8. CONTRATO ADMINISTRATIVO DE SERVICIOS"/>
    <s v=" 1. CONTRATO ADMINISTRATIVO DE SERVICIOS"/>
    <s v=" 4. AGUINALDOS DE C.A.S."/>
    <s v="20. SUB CUENTA - EMERGENCIA SANITARIA COVID-19 - ROOC"/>
    <n v="0"/>
    <n v="0"/>
    <n v="0"/>
    <n v="0"/>
    <n v="0"/>
    <n v="0"/>
    <n v="0"/>
    <n v="0"/>
    <n v="0"/>
    <n v="0"/>
    <n v="0"/>
    <n v="108300"/>
    <n v="0"/>
    <n v="0"/>
    <n v="0"/>
    <n v="0"/>
    <n v="0"/>
    <n v="0"/>
    <n v="0"/>
    <n v="0"/>
    <n v="0"/>
    <n v="0"/>
    <n v="0"/>
    <n v="108300"/>
    <n v="0"/>
    <n v="0"/>
    <n v="0"/>
    <n v="0"/>
    <n v="0"/>
    <n v="0"/>
    <n v="0"/>
    <n v="0"/>
    <n v="0"/>
    <n v="0"/>
    <n v="0"/>
    <n v="105259.85"/>
    <n v="0"/>
    <n v="0"/>
    <n v="0"/>
    <n v="0"/>
    <n v="0"/>
    <n v="0"/>
    <n v="0"/>
    <n v="0"/>
    <n v="0"/>
    <n v="0"/>
    <n v="0"/>
    <n v="105259.85"/>
    <n v="0"/>
    <n v="0"/>
    <n v="0"/>
    <n v="0"/>
    <n v="0"/>
    <x v="4"/>
    <x v="70"/>
    <x v="70"/>
    <x v="2"/>
    <x v="2"/>
    <s v="RD"/>
  </r>
  <r>
    <s v="2021"/>
    <s v="EJECUTORAS DEL GOBIERNO REGIONAL"/>
    <s v="99. GOBIERNOS REGIONALES"/>
    <s v="444. GOBIERNO REGIONAL DEL DEPARTAMENTO DE AYACUCHO"/>
    <s v="401. REGION AYACUCHO-HOSPITAL HUAMANGA"/>
    <s v="001024"/>
    <x v="2"/>
    <s v=" ."/>
    <s v="3999999."/>
    <s v="5.ACTIVIDAD"/>
    <s v="5006269. PREVENCIÓN, CONTROL, DIAGNÓSTICO Y TRATAMIENTO DE CORONAVIRUS"/>
    <s v="20. SALUD"/>
    <s v="044. SALUD INDIVIDUAL"/>
    <s v="0097. ATENCION MEDICA ESPECIALIZADA"/>
    <s v="00001"/>
    <s v="0290090. DIAGNOSTICO Y TRATAMIENTO DE CORONAVIRUS"/>
    <s v="00083 - PACIENTE ATENDIDO"/>
    <n v="1"/>
    <n v="1384"/>
    <n v="0"/>
    <n v="0"/>
    <x v="48"/>
    <s v="05. AYACUCHO"/>
    <s v="01. HUAMANGA"/>
    <s v="01. AYACUCHO"/>
    <x v="4"/>
    <s v="19. RECURSOS POR OPERACIONES OFICIALES DE CREDITO"/>
    <s v="5. GASTOS CORRIENTES"/>
    <s v="2. GASTOS PRESUPUESTARIOS"/>
    <x v="2"/>
    <s v=" 2. CONTRATACION DE SERVICIOS"/>
    <s v=" 8. CONTRATO ADMINISTRATIVO DE SERVICIOS"/>
    <s v=" 1. CONTRATO ADMINISTRATIVO DE SERVICIOS"/>
    <s v=" 7. BONIFICACIÓN EXTRAORDINARIA POR EMERGENCIA SANITARIA"/>
    <s v="20. SUB CUENTA - EMERGENCIA SANITARIA COVID-19 - ROOC"/>
    <n v="0"/>
    <n v="0"/>
    <n v="0"/>
    <n v="0"/>
    <n v="0"/>
    <n v="0"/>
    <n v="0"/>
    <n v="0"/>
    <n v="154080"/>
    <n v="0"/>
    <n v="0"/>
    <n v="0"/>
    <n v="0"/>
    <n v="0"/>
    <n v="0"/>
    <n v="0"/>
    <n v="0"/>
    <n v="0"/>
    <n v="0"/>
    <n v="0"/>
    <n v="154080"/>
    <n v="0"/>
    <n v="0"/>
    <n v="0"/>
    <n v="0"/>
    <n v="0"/>
    <n v="0"/>
    <n v="0"/>
    <n v="0"/>
    <n v="0"/>
    <n v="0"/>
    <n v="0"/>
    <n v="0"/>
    <n v="154080"/>
    <n v="0"/>
    <n v="0"/>
    <n v="0"/>
    <n v="0"/>
    <n v="0"/>
    <n v="0"/>
    <n v="0"/>
    <n v="0"/>
    <n v="0"/>
    <n v="0"/>
    <n v="0"/>
    <n v="152640"/>
    <n v="1440"/>
    <n v="0"/>
    <n v="0"/>
    <n v="0"/>
    <n v="0"/>
    <n v="0"/>
    <n v="0"/>
    <x v="4"/>
    <x v="110"/>
    <x v="110"/>
    <x v="2"/>
    <x v="2"/>
    <s v="RD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4" cacheId="0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>
  <location ref="A90:A91" firstHeaderRow="1" firstDataRow="1" firstDataCol="0"/>
  <pivotFields count="16">
    <pivotField showAll="0">
      <items count="9">
        <item h="1" x="0"/>
        <item x="1"/>
        <item h="1" x="2"/>
        <item h="1" x="3"/>
        <item h="1" m="1" x="4"/>
        <item h="1" m="1" x="5"/>
        <item h="1" m="1" x="6"/>
        <item h="1" m="1" x="7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dataField="1" numFmtId="9" showAll="0"/>
    <pivotField numFmtId="9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Items count="1">
    <i/>
  </rowItems>
  <colItems count="1">
    <i/>
  </colItems>
  <dataFields count="1">
    <dataField name="Promedio de Actuar" fld="11" subtotal="average" baseField="0" baseItem="0" numFmtId="9"/>
  </dataFields>
  <formats count="4">
    <format dxfId="3">
      <pivotArea outline="0" collapsedLevelsAreSubtotals="1" fieldPosition="0"/>
    </format>
    <format dxfId="2">
      <pivotArea type="all" dataOnly="0" outline="0" fieldPosition="0"/>
    </format>
    <format dxfId="1">
      <pivotArea outline="0" collapsedLevelsAreSubtotals="1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1077:C1094" firstHeaderRow="1" firstDataRow="1" firstDataCol="0"/>
  <pivotFields count="16">
    <pivotField showAll="0">
      <items count="9">
        <item h="1" x="0"/>
        <item x="1"/>
        <item h="1" x="2"/>
        <item h="1" x="3"/>
        <item h="1" m="1" x="4"/>
        <item h="1" m="1" x="5"/>
        <item h="1" m="1" x="6"/>
        <item h="1" m="1" x="7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formats count="1">
    <format dxfId="4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>
  <location ref="A79:A80" firstHeaderRow="1" firstDataRow="1" firstDataCol="0"/>
  <pivotFields count="16">
    <pivotField showAll="0">
      <items count="9">
        <item h="1" x="0"/>
        <item x="1"/>
        <item h="1" x="2"/>
        <item h="1" x="3"/>
        <item h="1" m="1" x="4"/>
        <item h="1" m="1" x="5"/>
        <item h="1" m="1" x="6"/>
        <item h="1" m="1" x="7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9" showAll="0"/>
    <pivotField numFmtId="9" showAll="0"/>
    <pivotField numFmtId="9" showAll="0"/>
    <pivotField numFmtId="9" showAll="0"/>
    <pivotField dataField="1"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Items count="1">
    <i/>
  </rowItems>
  <colItems count="1">
    <i/>
  </colItems>
  <dataFields count="1">
    <dataField name="Promedio de Hacer" fld="6" subtotal="average" baseField="0" baseItem="0" numFmtId="9"/>
  </dataFields>
  <formats count="4">
    <format dxfId="8">
      <pivotArea outline="0" collapsedLevelsAreSubtotals="1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laDinámica10" cacheId="1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 chartFormat="5" rowHeaderCaption="FUENTE DE FINANCIAMIENTO">
  <location ref="D74:Q80" firstHeaderRow="0" firstDataRow="1" firstDataCol="1"/>
  <pivotFields count="105">
    <pivotField showAll="0"/>
    <pivotField showAll="0"/>
    <pivotField showAll="0"/>
    <pivotField showAll="0"/>
    <pivotField showAll="0"/>
    <pivotField showAll="0"/>
    <pivotField showAll="0">
      <items count="14">
        <item x="3"/>
        <item x="4"/>
        <item x="5"/>
        <item x="11"/>
        <item x="6"/>
        <item x="7"/>
        <item x="8"/>
        <item x="9"/>
        <item x="0"/>
        <item x="10"/>
        <item x="1"/>
        <item x="2"/>
        <item m="1"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4"/>
        <item x="2"/>
        <item x="3"/>
        <item m="1" x="5"/>
        <item t="default"/>
      </items>
    </pivotField>
    <pivotField showAll="0"/>
    <pivotField showAll="0"/>
    <pivotField showAll="0"/>
    <pivotField showAll="0">
      <items count="7">
        <item x="0"/>
        <item x="1"/>
        <item x="2"/>
        <item m="1" x="5"/>
        <item x="3"/>
        <item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 defaultSubtotal="0"/>
    <pivotField showAll="0">
      <items count="7">
        <item x="0"/>
        <item x="1"/>
        <item x="2"/>
        <item m="1" x="5"/>
        <item x="3"/>
        <item m="1" x="4"/>
        <item t="default"/>
      </items>
    </pivotField>
    <pivotField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1">
    <field x="25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PIM" fld="37" baseField="25" baseItem="0" numFmtId="4"/>
    <dataField name="CERTIFICADO" fld="38" baseField="25" baseItem="0" numFmtId="4"/>
    <dataField name=" SALDO X CERTIFICAR" fld="94" baseField="25" baseItem="0" numFmtId="4"/>
    <dataField name=" % CERTIFICADO" fld="95" baseField="25" baseItem="0" numFmtId="10"/>
    <dataField name="COM. ANUAL" fld="39" baseField="25" baseItem="0" numFmtId="4"/>
    <dataField name=" SALDO ANUAL" fld="96" baseField="25" baseItem="0" numFmtId="4"/>
    <dataField name=" % ANUAL" fld="97" baseField="25" baseItem="0" numFmtId="10"/>
    <dataField name=" MENSUAL" fld="98" baseField="25" baseItem="0" numFmtId="4"/>
    <dataField name=" SALDO MENSUAL" fld="99" baseField="25" baseItem="0" numFmtId="4"/>
    <dataField name=" % MENSUAL" fld="100" baseField="25" baseItem="0" numFmtId="10"/>
    <dataField name=" DEVENGADO" fld="101" baseField="25" baseItem="0" numFmtId="4"/>
    <dataField name=" SALDO DEVENGADO" fld="102" baseField="25" baseItem="0" numFmtId="4"/>
    <dataField name="  % DEVENGADO" fld="103" baseField="25" baseItem="0" numFmtId="10"/>
  </dataFields>
  <formats count="66">
    <format dxfId="74">
      <pivotArea outline="0" collapsedLevelsAreSubtotals="1" fieldPosition="0">
        <references count="1">
          <reference field="4294967294" count="1" selected="0">
            <x v="12"/>
          </reference>
        </references>
      </pivotArea>
    </format>
    <format dxfId="73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72">
      <pivotArea outline="0" collapsedLevelsAreSubtotals="1" fieldPosition="0">
        <references count="1">
          <reference field="4294967294" count="1" selected="0">
            <x v="9"/>
          </reference>
        </references>
      </pivotArea>
    </format>
    <format dxfId="71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70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69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68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67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66">
      <pivotArea outline="0" collapsedLevelsAreSubtotals="1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">
      <pivotArea outline="0" collapsedLevelsAreSubtotals="1" fieldPosition="0">
        <references count="1">
          <reference field="4294967294" count="2" selected="0">
            <x v="4"/>
            <x v="5"/>
          </reference>
        </references>
      </pivotArea>
    </format>
    <format dxfId="63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62">
      <pivotArea outline="0" collapsedLevelsAreSubtotals="1" fieldPosition="0">
        <references count="1">
          <reference field="4294967294" count="2" selected="0">
            <x v="7"/>
            <x v="8"/>
          </reference>
        </references>
      </pivotArea>
    </format>
    <format dxfId="61">
      <pivotArea dataOnly="0" labelOnly="1" outline="0" fieldPosition="0">
        <references count="1">
          <reference field="4294967294" count="2">
            <x v="7"/>
            <x v="8"/>
          </reference>
        </references>
      </pivotArea>
    </format>
    <format dxfId="60">
      <pivotArea outline="0" collapsedLevelsAreSubtotals="1" fieldPosition="0">
        <references count="1">
          <reference field="4294967294" count="2" selected="0">
            <x v="10"/>
            <x v="11"/>
          </reference>
        </references>
      </pivotArea>
    </format>
    <format dxfId="59">
      <pivotArea dataOnly="0" labelOnly="1" outline="0" fieldPosition="0">
        <references count="1">
          <reference field="4294967294" count="2">
            <x v="10"/>
            <x v="11"/>
          </reference>
        </references>
      </pivotArea>
    </format>
    <format dxfId="58">
      <pivotArea field="25" type="button" dataOnly="0" labelOnly="1" outline="0" axis="axisRow" fieldPosition="0"/>
    </format>
    <format dxfId="57">
      <pivotArea dataOnly="0" labelOnly="1" outline="0" fieldPosition="0">
        <references count="1">
          <reference field="4294967294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56">
      <pivotArea grandRow="1" outline="0" collapsedLevelsAreSubtotals="1" fieldPosition="0"/>
    </format>
    <format dxfId="55">
      <pivotArea dataOnly="0" labelOnly="1" grandRow="1" outline="0" fieldPosition="0"/>
    </format>
    <format dxfId="54">
      <pivotArea collapsedLevelsAreSubtotals="1" fieldPosition="0">
        <references count="1">
          <reference field="25" count="0"/>
        </references>
      </pivotArea>
    </format>
    <format dxfId="53">
      <pivotArea dataOnly="0" labelOnly="1" fieldPosition="0">
        <references count="1">
          <reference field="25" count="0"/>
        </references>
      </pivotArea>
    </format>
    <format dxfId="52">
      <pivotArea field="25" type="button" dataOnly="0" labelOnly="1" outline="0" axis="axisRow" fieldPosition="0"/>
    </format>
    <format dxfId="51">
      <pivotArea dataOnly="0" labelOnly="1" outline="0" fieldPosition="0">
        <references count="1">
          <reference field="4294967294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50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49">
      <pivotArea field="25" grandRow="1" outline="0" collapsedLevelsAreSubtotals="1" axis="axisRow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48">
      <pivotArea dataOnly="0" labelOnly="1" outline="0" fieldPosition="0">
        <references count="1">
          <reference field="4294967294" count="3">
            <x v="4"/>
            <x v="5"/>
            <x v="6"/>
          </reference>
        </references>
      </pivotArea>
    </format>
    <format dxfId="47">
      <pivotArea field="25" grandRow="1" outline="0" collapsedLevelsAreSubtotals="1" axis="axisRow" fieldPosition="0">
        <references count="1">
          <reference field="4294967294" count="3" selected="0">
            <x v="4"/>
            <x v="5"/>
            <x v="6"/>
          </reference>
        </references>
      </pivotArea>
    </format>
    <format dxfId="46">
      <pivotArea dataOnly="0" labelOnly="1" outline="0" fieldPosition="0">
        <references count="1">
          <reference field="4294967294" count="3">
            <x v="7"/>
            <x v="8"/>
            <x v="9"/>
          </reference>
        </references>
      </pivotArea>
    </format>
    <format dxfId="45">
      <pivotArea field="25" grandRow="1" outline="0" collapsedLevelsAreSubtotals="1" axis="axisRow" fieldPosition="0">
        <references count="1">
          <reference field="4294967294" count="3" selected="0">
            <x v="7"/>
            <x v="8"/>
            <x v="9"/>
          </reference>
        </references>
      </pivotArea>
    </format>
    <format dxfId="44">
      <pivotArea dataOnly="0" labelOnly="1" outline="0" fieldPosition="0">
        <references count="1">
          <reference field="4294967294" count="3">
            <x v="7"/>
            <x v="8"/>
            <x v="9"/>
          </reference>
        </references>
      </pivotArea>
    </format>
    <format dxfId="43">
      <pivotArea field="25" grandRow="1" outline="0" collapsedLevelsAreSubtotals="1" axis="axisRow" fieldPosition="0">
        <references count="1">
          <reference field="4294967294" count="3" selected="0">
            <x v="7"/>
            <x v="8"/>
            <x v="9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10"/>
            <x v="11"/>
            <x v="12"/>
          </reference>
        </references>
      </pivotArea>
    </format>
    <format dxfId="41">
      <pivotArea field="25" grandRow="1" outline="0" collapsedLevelsAreSubtotals="1" axis="axisRow" fieldPosition="0">
        <references count="1">
          <reference field="4294967294" count="3" selected="0">
            <x v="10"/>
            <x v="11"/>
            <x v="12"/>
          </reference>
        </references>
      </pivotArea>
    </format>
    <format dxfId="40">
      <pivotArea field="25" type="button" dataOnly="0" labelOnly="1" outline="0" axis="axisRow" fieldPosition="0"/>
    </format>
    <format dxfId="3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8">
      <pivotArea field="25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37">
      <pivotArea dataOnly="0" labelOnly="1" grandRow="1" outline="0" fieldPosition="0"/>
    </format>
    <format dxfId="36">
      <pivotArea field="25" type="button" dataOnly="0" labelOnly="1" outline="0" axis="axisRow" fieldPosition="0"/>
    </format>
    <format dxfId="35">
      <pivotArea dataOnly="0" labelOnly="1" outline="0" fieldPosition="0">
        <references count="1">
          <reference field="4294967294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4">
      <pivotArea grandRow="1" outline="0" collapsedLevelsAreSubtotals="1" fieldPosition="0"/>
    </format>
    <format dxfId="33">
      <pivotArea dataOnly="0" labelOnly="1" grandRow="1" outline="0" fieldPosition="0"/>
    </format>
    <format dxfId="32">
      <pivotArea collapsedLevelsAreSubtotals="1" fieldPosition="0">
        <references count="1">
          <reference field="25" count="0"/>
        </references>
      </pivotArea>
    </format>
    <format dxfId="31">
      <pivotArea dataOnly="0" labelOnly="1" fieldPosition="0">
        <references count="1">
          <reference field="25" count="0"/>
        </references>
      </pivotArea>
    </format>
    <format dxfId="30">
      <pivotArea collapsedLevelsAreSubtotals="1" fieldPosition="0">
        <references count="1">
          <reference field="25" count="0"/>
        </references>
      </pivotArea>
    </format>
    <format dxfId="29">
      <pivotArea dataOnly="0" labelOnly="1" fieldPosition="0">
        <references count="1">
          <reference field="25" count="0"/>
        </references>
      </pivotArea>
    </format>
    <format dxfId="28">
      <pivotArea field="25" type="button" dataOnly="0" labelOnly="1" outline="0" axis="axisRow" fieldPosition="0"/>
    </format>
    <format dxfId="27">
      <pivotArea dataOnly="0" labelOnly="1" outline="0" fieldPosition="0">
        <references count="1">
          <reference field="4294967294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26">
      <pivotArea grandRow="1" outline="0" collapsedLevelsAreSubtotals="1" fieldPosition="0"/>
    </format>
    <format dxfId="25">
      <pivotArea dataOnly="0" labelOnly="1" grandRow="1" outline="0" fieldPosition="0"/>
    </format>
    <format dxfId="24">
      <pivotArea field="25" type="button" dataOnly="0" labelOnly="1" outline="0" axis="axisRow" fieldPosition="0"/>
    </format>
    <format dxfId="23">
      <pivotArea dataOnly="0" labelOnly="1" outline="0" fieldPosition="0">
        <references count="1">
          <reference field="4294967294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22">
      <pivotArea grandRow="1" outline="0" collapsedLevelsAreSubtotals="1" fieldPosition="0"/>
    </format>
    <format dxfId="21">
      <pivotArea dataOnly="0" labelOnly="1" grandRow="1" outline="0" fieldPosition="0"/>
    </format>
    <format dxfId="20">
      <pivotArea collapsedLevelsAreSubtotals="1" fieldPosition="0">
        <references count="1">
          <reference field="25" count="0"/>
        </references>
      </pivotArea>
    </format>
    <format dxfId="19">
      <pivotArea dataOnly="0" labelOnly="1" fieldPosition="0">
        <references count="1">
          <reference field="25" count="0"/>
        </references>
      </pivotArea>
    </format>
    <format dxfId="18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17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6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15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14">
      <pivotArea outline="0" collapsedLevelsAreSubtotals="1" fieldPosition="0">
        <references count="1">
          <reference field="4294967294" count="1" selected="0">
            <x v="9"/>
          </reference>
        </references>
      </pivotArea>
    </format>
    <format dxfId="13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12">
      <pivotArea outline="0" collapsedLevelsAreSubtotals="1" fieldPosition="0">
        <references count="1">
          <reference field="4294967294" count="1" selected="0">
            <x v="12"/>
          </reference>
        </references>
      </pivotArea>
    </format>
    <format dxfId="11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10">
      <pivotArea collapsedLevelsAreSubtotals="1" fieldPosition="0">
        <references count="1">
          <reference field="25" count="1">
            <x v="3"/>
          </reference>
        </references>
      </pivotArea>
    </format>
    <format dxfId="9">
      <pivotArea dataOnly="0" labelOnly="1" fieldPosition="0">
        <references count="1">
          <reference field="25" count="1">
            <x v="3"/>
          </reference>
        </references>
      </pivotArea>
    </format>
  </formats>
  <conditionalFormats count="1">
    <conditionalFormat priority="1">
      <pivotAreas count="4">
        <pivotArea type="data" outline="0" collapsedLevelsAreSubtotals="1" fieldPosition="0">
          <references count="1">
            <reference field="4294967294" count="1" selected="0">
              <x v="3"/>
            </reference>
          </references>
        </pivotArea>
        <pivotArea type="data" outline="0" collapsedLevelsAreSubtotals="1" fieldPosition="0">
          <references count="1">
            <reference field="4294967294" count="1" selected="0">
              <x v="6"/>
            </reference>
          </references>
        </pivotArea>
        <pivotArea type="data" outline="0" collapsedLevelsAreSubtotals="1" fieldPosition="0">
          <references count="1">
            <reference field="4294967294" count="1" selected="0">
              <x v="9"/>
            </reference>
          </references>
        </pivotArea>
        <pivotArea type="data" outline="0" collapsedLevelsAreSubtotals="1" fieldPosition="0">
          <references count="1">
            <reference field="4294967294" count="1" selected="0">
              <x v="12"/>
            </reference>
          </references>
        </pivotArea>
      </pivotAreas>
    </conditionalFormat>
  </conditional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Dinámica3" cacheId="0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>
  <location ref="A85:A86" firstHeaderRow="1" firstDataRow="1" firstDataCol="0"/>
  <pivotFields count="16">
    <pivotField showAll="0">
      <items count="9">
        <item h="1" x="0"/>
        <item x="1"/>
        <item h="1" x="2"/>
        <item h="1" x="3"/>
        <item h="1" m="1" x="4"/>
        <item h="1" m="1" x="5"/>
        <item h="1" m="1" x="6"/>
        <item h="1" m="1" x="7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dataField="1" numFmtId="9" showAll="0"/>
    <pivotField numFmtId="9" showAll="0"/>
    <pivotField numFmtId="9" showAll="0"/>
    <pivotField numFmtId="9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Items count="1">
    <i/>
  </rowItems>
  <colItems count="1">
    <i/>
  </colItems>
  <dataFields count="1">
    <dataField name="Promedio de Verificar" fld="9" subtotal="average" baseField="0" baseItem="0" numFmtId="9"/>
  </dataFields>
  <formats count="4">
    <format dxfId="78">
      <pivotArea outline="0" collapsedLevelsAreSubtotals="1" fieldPosition="0"/>
    </format>
    <format dxfId="77">
      <pivotArea type="all" dataOnly="0" outline="0" fieldPosition="0"/>
    </format>
    <format dxfId="76">
      <pivotArea outline="0" collapsedLevelsAreSubtotals="1" fieldPosition="0"/>
    </format>
    <format dxfId="7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TablaDinámica6" cacheId="0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>
  <location ref="A101:B102" firstHeaderRow="0" firstDataRow="1" firstDataCol="0"/>
  <pivotFields count="16">
    <pivotField showAll="0">
      <items count="9">
        <item h="1" x="0"/>
        <item x="1"/>
        <item h="1" x="2"/>
        <item h="1" x="3"/>
        <item h="1" m="1" x="4"/>
        <item h="1" m="1" x="5"/>
        <item h="1" m="1" x="6"/>
        <item h="1" m="1" x="7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9" showAll="0"/>
    <pivotField numFmtId="9" showAll="0"/>
    <pivotField numFmtId="9" showAll="0"/>
    <pivotField numFmtId="9" showAll="0"/>
    <pivotField numFmtId="9" showAll="0"/>
    <pivotField dataField="1" numFmtId="9" showAll="0"/>
    <pivotField dataField="1" numFmtId="9" showAll="0"/>
    <pivotField numFmtId="9" showAll="0"/>
    <pivotField numFmtId="9" showAll="0"/>
    <pivotField numFmtId="9" showAll="0"/>
    <pivotField numFmtId="9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Promedio de Hacer: Criterio 01" fld="7" subtotal="average" baseField="0" baseItem="1"/>
    <dataField name="Promedio de Hacer: Criterio 02" fld="8" subtotal="average" baseField="0" baseItem="1"/>
  </dataFields>
  <formats count="4">
    <format dxfId="82">
      <pivotArea outline="0" collapsedLevelsAreSubtotals="1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>
  <location ref="A72:A73" firstHeaderRow="1" firstDataRow="1" firstDataCol="0"/>
  <pivotFields count="16">
    <pivotField showAll="0">
      <items count="9">
        <item h="1" x="0"/>
        <item x="1"/>
        <item h="1" x="2"/>
        <item h="1" x="3"/>
        <item h="1" m="1" x="4"/>
        <item h="1" m="1" x="5"/>
        <item h="1" m="1" x="6"/>
        <item h="1" m="1" x="7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Items count="1">
    <i/>
  </rowItems>
  <colItems count="1">
    <i/>
  </colItems>
  <dataFields count="1">
    <dataField name="Promedio de Planificar" fld="2" subtotal="average" baseField="0" baseItem="0" numFmtId="9"/>
  </dataFields>
  <formats count="4">
    <format dxfId="86">
      <pivotArea outline="0" collapsedLevelsAreSubtotals="1" fieldPosition="0"/>
    </format>
    <format dxfId="85">
      <pivotArea type="all" dataOnly="0" outline="0" fieldPosition="0"/>
    </format>
    <format dxfId="84">
      <pivotArea outline="0" collapsedLevelsAreSubtotals="1" fieldPosition="0"/>
    </format>
    <format dxfId="8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TablaDinámica8" cacheId="0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>
  <location ref="A107:A108" firstHeaderRow="1" firstDataRow="1" firstDataCol="0"/>
  <pivotFields count="16">
    <pivotField showAll="0">
      <items count="9">
        <item h="1" x="0"/>
        <item x="1"/>
        <item h="1" x="2"/>
        <item h="1" x="3"/>
        <item h="1" m="1" x="4"/>
        <item h="1" m="1" x="5"/>
        <item h="1" m="1" x="6"/>
        <item h="1" m="1" x="7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dataField="1" numFmtId="9" showAll="0"/>
    <pivotField numFmtId="9" showAll="0"/>
    <pivotField numFmtId="9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Items count="1">
    <i/>
  </rowItems>
  <colItems count="1">
    <i/>
  </colItems>
  <dataFields count="1">
    <dataField name="Promedio de Verificar: Criterio 01" fld="10" subtotal="average" baseField="0" baseItem="0" numFmtId="9"/>
  </dataFields>
  <formats count="4">
    <format dxfId="90">
      <pivotArea outline="0" collapsedLevelsAreSubtotals="1" fieldPosition="0"/>
    </format>
    <format dxfId="89">
      <pivotArea type="all" dataOnly="0" outline="0" fieldPosition="0"/>
    </format>
    <format dxfId="88">
      <pivotArea outline="0" collapsedLevelsAreSubtotals="1" fieldPosition="0"/>
    </format>
    <format dxfId="87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TablaDinámica9" cacheId="0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>
  <location ref="A113:A114" firstHeaderRow="1" firstDataRow="1" firstDataCol="0"/>
  <pivotFields count="16">
    <pivotField showAll="0">
      <items count="9">
        <item h="1" x="0"/>
        <item x="1"/>
        <item h="1" x="2"/>
        <item h="1" x="3"/>
        <item h="1" m="1" x="4"/>
        <item h="1" m="1" x="5"/>
        <item h="1" m="1" x="6"/>
        <item h="1" m="1" x="7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dataField="1" numFmtId="9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Items count="1">
    <i/>
  </rowItems>
  <colItems count="1">
    <i/>
  </colItems>
  <dataFields count="1">
    <dataField name="Promedio de Actuar: Criterio 01" fld="12" subtotal="average" baseField="0" baseItem="0" numFmtId="9"/>
  </dataFields>
  <formats count="4">
    <format dxfId="94">
      <pivotArea outline="0" collapsedLevelsAreSubtotals="1" fieldPosition="0"/>
    </format>
    <format dxfId="93">
      <pivotArea type="all" dataOnly="0" outline="0" fieldPosition="0"/>
    </format>
    <format dxfId="92">
      <pivotArea outline="0" collapsedLevelsAreSubtotals="1" fieldPosition="0"/>
    </format>
    <format dxfId="9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TablaDinámica5" cacheId="0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>
  <location ref="A95:C96" firstHeaderRow="0" firstDataRow="1" firstDataCol="0"/>
  <pivotFields count="16">
    <pivotField showAll="0">
      <items count="9">
        <item h="1" x="0"/>
        <item x="1"/>
        <item h="1" x="2"/>
        <item h="1" x="3"/>
        <item h="1" m="1" x="4"/>
        <item h="1" m="1" x="5"/>
        <item h="1" m="1" x="6"/>
        <item h="1" m="1" x="7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9" showAll="0"/>
    <pivotField dataField="1" numFmtId="9" showAll="0"/>
    <pivotField dataField="1" numFmtId="9" showAll="0"/>
    <pivotField dataField="1"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Promedio de Planificar: Criterio 01" fld="3" subtotal="average" baseField="0" baseItem="1"/>
    <dataField name="Promedio de Planificar: Criterio 02" fld="4" subtotal="average" baseField="0" baseItem="1"/>
    <dataField name="Promedio de Planificar: Criterio 03" fld="5" subtotal="average" baseField="0" baseItem="1"/>
  </dataFields>
  <formats count="4">
    <format dxfId="98">
      <pivotArea outline="0" collapsedLevelsAreSubtotals="1" fieldPosition="0"/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G.G." sourceName="G.G.">
  <pivotTables>
    <pivotTable tabId="2" name="TablaDinámica10"/>
  </pivotTables>
  <data>
    <tabular pivotCacheId="1831676181">
      <items count="6">
        <i x="0" s="1"/>
        <i x="1" s="1"/>
        <i x="2" s="1"/>
        <i x="3" s="1"/>
        <i x="5" s="1" nd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FTE_FTO" sourceName="FTE FTO">
  <pivotTables>
    <pivotTable tabId="2" name="TablaDinámica10"/>
  </pivotTables>
  <data>
    <tabular pivotCacheId="1831676181">
      <items count="5">
        <i x="0" s="1"/>
        <i x="1" s="1"/>
        <i x="2" s="1"/>
        <i x="3" s="1"/>
        <i x="4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G.G." cache="SegmentaciónDeDatos_G.G." caption="G.G." style="SlicerStyleLight1 2" rowHeight="241300"/>
  <slicer name="FTE FTO" cache="SegmentaciónDeDatos_FTE_FTO" caption="FTE FTO" columnCount="5" style="SlicerStyleLight1 2" rowHeight="324000"/>
</slicers>
</file>

<file path=xl/tables/table1.xml><?xml version="1.0" encoding="utf-8"?>
<table xmlns="http://schemas.openxmlformats.org/spreadsheetml/2006/main" id="1" name="data" displayName="data" ref="A1:M26" totalsRowShown="0">
  <autoFilter ref="A1:M26"/>
  <tableColumns count="13">
    <tableColumn id="1" name="Proyecto"/>
    <tableColumn id="4" name="Fecha" dataDxfId="103"/>
    <tableColumn id="8" name="Planificar" dataDxfId="102" dataCellStyle="Porcentaje">
      <calculatedColumnFormula>AVERAGE(data[[#This Row],[Planificar: Criterio 01]:[Planificar: Criterio 03]])</calculatedColumnFormula>
    </tableColumn>
    <tableColumn id="2" name="Planificar: Criterio 01"/>
    <tableColumn id="3" name="Planificar: Criterio 02"/>
    <tableColumn id="6" name="Planificar: Criterio 03"/>
    <tableColumn id="7" name="Hacer" dataDxfId="101" dataCellStyle="Porcentaje">
      <calculatedColumnFormula>AVERAGE(data[[#This Row],[Hacer: Criterio 01]:[Hacer: Criterio 02]])</calculatedColumnFormula>
    </tableColumn>
    <tableColumn id="9" name="Hacer: Criterio 01"/>
    <tableColumn id="10" name="Hacer: Criterio 02"/>
    <tableColumn id="12" name="Verificar" dataDxfId="100" dataCellStyle="Porcentaje">
      <calculatedColumnFormula>AVERAGE(data[[#This Row],[Verificar: Criterio 01]])</calculatedColumnFormula>
    </tableColumn>
    <tableColumn id="13" name="Verificar: Criterio 01"/>
    <tableColumn id="14" name="Actuar" dataDxfId="99" dataCellStyle="Porcentaje">
      <calculatedColumnFormula>AVERAGE(data[[#This Row],[Actuar: Criterio 01]])</calculatedColumnFormula>
    </tableColumn>
    <tableColumn id="15" name="Actuar: Criterio 0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FF66CC"/>
  </sheetPr>
  <dimension ref="A1:S37"/>
  <sheetViews>
    <sheetView showGridLines="0" showRowColHeaders="0" tabSelected="1" zoomScale="77" zoomScaleNormal="77" workbookViewId="0">
      <selection activeCell="T30" sqref="T30"/>
    </sheetView>
  </sheetViews>
  <sheetFormatPr baseColWidth="10" defaultRowHeight="15" x14ac:dyDescent="0.25"/>
  <cols>
    <col min="1" max="5" width="9" customWidth="1"/>
  </cols>
  <sheetData>
    <row r="1" spans="1:19" x14ac:dyDescent="0.25">
      <c r="A1" s="68" t="s">
        <v>45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</row>
    <row r="2" spans="1:19" x14ac:dyDescent="0.25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</row>
    <row r="37" spans="1:19" ht="18.75" x14ac:dyDescent="0.3">
      <c r="A37" s="70" t="s">
        <v>46</v>
      </c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70"/>
      <c r="Q37" s="70"/>
      <c r="R37" s="70"/>
      <c r="S37" s="70"/>
    </row>
  </sheetData>
  <mergeCells count="2">
    <mergeCell ref="A1:S2"/>
    <mergeCell ref="A37:S37"/>
  </mergeCells>
  <pageMargins left="0.7" right="0.7" top="0.75" bottom="0.75" header="0.3" footer="0.3"/>
  <pageSetup paperSize="9" orientation="portrait" horizontalDpi="4294967292" verticalDpi="0" r:id="rId1"/>
  <drawing r:id="rId2"/>
  <legacyDrawing r:id="rId3"/>
  <controls>
    <mc:AlternateContent xmlns:mc="http://schemas.openxmlformats.org/markup-compatibility/2006">
      <mc:Choice Requires="x14">
        <control shapeId="2108" r:id="rId4" name="Label2">
          <controlPr defaultSize="0" autoLine="0" r:id="rId5">
            <anchor moveWithCells="1">
              <from>
                <xdr:col>27</xdr:col>
                <xdr:colOff>180975</xdr:colOff>
                <xdr:row>0</xdr:row>
                <xdr:rowOff>133350</xdr:rowOff>
              </from>
              <to>
                <xdr:col>28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2108" r:id="rId4" name="Label2"/>
      </mc:Fallback>
    </mc:AlternateContent>
    <mc:AlternateContent xmlns:mc="http://schemas.openxmlformats.org/markup-compatibility/2006">
      <mc:Choice Requires="x14">
        <control shapeId="2089" r:id="rId6" name="Label1">
          <controlPr defaultSize="0" autoLine="0" r:id="rId7">
            <anchor moveWithCells="1">
              <from>
                <xdr:col>26</xdr:col>
                <xdr:colOff>323850</xdr:colOff>
                <xdr:row>0</xdr:row>
                <xdr:rowOff>123825</xdr:rowOff>
              </from>
              <to>
                <xdr:col>27</xdr:col>
                <xdr:colOff>180975</xdr:colOff>
                <xdr:row>4</xdr:row>
                <xdr:rowOff>133350</xdr:rowOff>
              </to>
            </anchor>
          </controlPr>
        </control>
      </mc:Choice>
      <mc:Fallback>
        <control shapeId="2089" r:id="rId6" name="Label1"/>
      </mc:Fallback>
    </mc:AlternateContent>
    <mc:AlternateContent xmlns:mc="http://schemas.openxmlformats.org/markup-compatibility/2006">
      <mc:Choice Requires="x14">
        <control shapeId="2050" r:id="rId8" name="Option Button 2">
          <controlPr defaultSize="0" autoFill="0" autoLine="0" autoPict="0">
            <anchor moveWithCells="1">
              <from>
                <xdr:col>11</xdr:col>
                <xdr:colOff>647700</xdr:colOff>
                <xdr:row>6</xdr:row>
                <xdr:rowOff>19050</xdr:rowOff>
              </from>
              <to>
                <xdr:col>12</xdr:col>
                <xdr:colOff>171450</xdr:colOff>
                <xdr:row>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1" r:id="rId9" name="Option Button 3">
          <controlPr defaultSize="0" autoFill="0" autoLine="0" autoPict="0">
            <anchor moveWithCells="1">
              <from>
                <xdr:col>12</xdr:col>
                <xdr:colOff>409575</xdr:colOff>
                <xdr:row>17</xdr:row>
                <xdr:rowOff>180975</xdr:rowOff>
              </from>
              <to>
                <xdr:col>12</xdr:col>
                <xdr:colOff>647700</xdr:colOff>
                <xdr:row>19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2" r:id="rId10" name="Option Button 4">
          <controlPr defaultSize="0" autoFill="0" autoLine="0" autoPict="0">
            <anchor moveWithCells="1">
              <from>
                <xdr:col>5</xdr:col>
                <xdr:colOff>657225</xdr:colOff>
                <xdr:row>25</xdr:row>
                <xdr:rowOff>57150</xdr:rowOff>
              </from>
              <to>
                <xdr:col>6</xdr:col>
                <xdr:colOff>209550</xdr:colOff>
                <xdr:row>26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11" name="Option Button 5">
          <controlPr defaultSize="0" autoFill="0" autoLine="0" autoPict="0">
            <anchor moveWithCells="1">
              <from>
                <xdr:col>4</xdr:col>
                <xdr:colOff>638175</xdr:colOff>
                <xdr:row>12</xdr:row>
                <xdr:rowOff>38100</xdr:rowOff>
              </from>
              <to>
                <xdr:col>5</xdr:col>
                <xdr:colOff>238125</xdr:colOff>
                <xdr:row>13</xdr:row>
                <xdr:rowOff>66675</xdr:rowOff>
              </to>
            </anchor>
          </controlPr>
        </control>
      </mc:Choice>
    </mc:AlternateContent>
  </controls>
  <extLst>
    <ext xmlns:x14="http://schemas.microsoft.com/office/spreadsheetml/2009/9/main" uri="{A8765BA9-456A-4dab-B4F3-ACF838C121DE}">
      <x14:slicerList>
        <x14:slicer r:id="rId1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26"/>
  <sheetViews>
    <sheetView showGridLines="0" zoomScale="80" zoomScaleNormal="80" workbookViewId="0">
      <selection activeCell="C14" sqref="C14"/>
    </sheetView>
  </sheetViews>
  <sheetFormatPr baseColWidth="10" defaultRowHeight="15" x14ac:dyDescent="0.25"/>
  <cols>
    <col min="2" max="2" width="12.85546875" style="1" customWidth="1"/>
    <col min="3" max="3" width="14.5703125" style="3" bestFit="1" customWidth="1"/>
    <col min="4" max="6" width="22" bestFit="1" customWidth="1"/>
    <col min="8" max="9" width="19" bestFit="1" customWidth="1"/>
    <col min="10" max="10" width="13.28515625" style="3" bestFit="1" customWidth="1"/>
    <col min="11" max="11" width="21.28515625" bestFit="1" customWidth="1"/>
    <col min="12" max="12" width="18.7109375" style="3" bestFit="1" customWidth="1"/>
    <col min="13" max="13" width="19.7109375" bestFit="1" customWidth="1"/>
  </cols>
  <sheetData>
    <row r="1" spans="1:13" x14ac:dyDescent="0.25">
      <c r="A1" t="s">
        <v>13</v>
      </c>
      <c r="B1" s="1" t="s">
        <v>22</v>
      </c>
      <c r="C1" s="3" t="s">
        <v>14</v>
      </c>
      <c r="D1" t="s">
        <v>15</v>
      </c>
      <c r="E1" t="s">
        <v>16</v>
      </c>
      <c r="F1" t="s">
        <v>17</v>
      </c>
      <c r="G1" s="2" t="s">
        <v>10</v>
      </c>
      <c r="H1" t="s">
        <v>18</v>
      </c>
      <c r="I1" t="s">
        <v>19</v>
      </c>
      <c r="J1" s="3" t="s">
        <v>11</v>
      </c>
      <c r="K1" t="s">
        <v>20</v>
      </c>
      <c r="L1" s="3" t="s">
        <v>12</v>
      </c>
      <c r="M1" t="s">
        <v>21</v>
      </c>
    </row>
    <row r="2" spans="1:13" x14ac:dyDescent="0.25">
      <c r="A2" s="24" t="s">
        <v>34</v>
      </c>
      <c r="B2" s="4">
        <v>43831</v>
      </c>
      <c r="C2" s="3">
        <f>AVERAGE(data[[#This Row],[Planificar: Criterio 01]:[Planificar: Criterio 03]])</f>
        <v>0.31746031746031744</v>
      </c>
      <c r="D2" s="3">
        <v>0.66666666666666663</v>
      </c>
      <c r="E2" s="3">
        <v>0.2857142857142857</v>
      </c>
      <c r="F2" s="3">
        <v>0</v>
      </c>
      <c r="G2" s="3">
        <f>AVERAGE(data[[#This Row],[Hacer: Criterio 01]:[Hacer: Criterio 02]])</f>
        <v>0.45500000000000002</v>
      </c>
      <c r="H2" s="3">
        <v>0.66</v>
      </c>
      <c r="I2" s="3">
        <v>0.25</v>
      </c>
      <c r="J2" s="3">
        <f>AVERAGE(data[[#This Row],[Verificar: Criterio 01]])</f>
        <v>0.4</v>
      </c>
      <c r="K2" s="3">
        <v>0.4</v>
      </c>
      <c r="L2" s="3">
        <f>AVERAGE(data[[#This Row],[Actuar: Criterio 01]])</f>
        <v>0.125</v>
      </c>
      <c r="M2" s="3">
        <v>0.125</v>
      </c>
    </row>
    <row r="3" spans="1:13" x14ac:dyDescent="0.25">
      <c r="A3" s="24" t="s">
        <v>34</v>
      </c>
      <c r="B3" s="4">
        <v>43886</v>
      </c>
      <c r="C3" s="3">
        <f>AVERAGE(data[[#This Row],[Planificar: Criterio 01]:[Planificar: Criterio 03]])</f>
        <v>0.22222222222222221</v>
      </c>
      <c r="D3" s="3">
        <v>0</v>
      </c>
      <c r="E3" s="3">
        <v>0.16666666666666666</v>
      </c>
      <c r="F3" s="3">
        <v>0.5</v>
      </c>
      <c r="G3" s="3">
        <f>AVERAGE(data[[#This Row],[Hacer: Criterio 01]:[Hacer: Criterio 02]])</f>
        <v>0.69696969696969702</v>
      </c>
      <c r="H3" s="3">
        <v>0.72727272727272729</v>
      </c>
      <c r="I3" s="3">
        <v>0.66666666666666663</v>
      </c>
      <c r="J3" s="3">
        <f>AVERAGE(data[[#This Row],[Verificar: Criterio 01]])</f>
        <v>0.7142857142857143</v>
      </c>
      <c r="K3" s="3">
        <v>0.7142857142857143</v>
      </c>
      <c r="L3" s="3">
        <f>AVERAGE(data[[#This Row],[Actuar: Criterio 01]])</f>
        <v>0.25</v>
      </c>
      <c r="M3" s="3">
        <v>0.25</v>
      </c>
    </row>
    <row r="4" spans="1:13" x14ac:dyDescent="0.25">
      <c r="A4" s="24" t="s">
        <v>34</v>
      </c>
      <c r="B4" s="4">
        <v>43941</v>
      </c>
      <c r="C4" s="3">
        <f>AVERAGE(data[[#This Row],[Planificar: Criterio 01]:[Planificar: Criterio 03]])</f>
        <v>0.57407407407407407</v>
      </c>
      <c r="D4" s="3">
        <v>0.5</v>
      </c>
      <c r="E4" s="3">
        <v>0.22222222222222221</v>
      </c>
      <c r="F4" s="3">
        <v>1</v>
      </c>
      <c r="G4" s="3">
        <f>AVERAGE(data[[#This Row],[Hacer: Criterio 01]:[Hacer: Criterio 02]])</f>
        <v>0.4</v>
      </c>
      <c r="H4" s="3">
        <v>0</v>
      </c>
      <c r="I4" s="3">
        <v>0.8</v>
      </c>
      <c r="J4" s="3">
        <f>AVERAGE(data[[#This Row],[Verificar: Criterio 01]])</f>
        <v>1</v>
      </c>
      <c r="K4" s="3">
        <v>1</v>
      </c>
      <c r="L4" s="3">
        <f>AVERAGE(data[[#This Row],[Actuar: Criterio 01]])</f>
        <v>1</v>
      </c>
      <c r="M4" s="3">
        <v>1</v>
      </c>
    </row>
    <row r="5" spans="1:13" x14ac:dyDescent="0.25">
      <c r="A5" s="24" t="s">
        <v>34</v>
      </c>
      <c r="B5" s="4">
        <v>43996</v>
      </c>
      <c r="C5" s="3">
        <f>AVERAGE(data[[#This Row],[Planificar: Criterio 01]:[Planificar: Criterio 03]])</f>
        <v>0.41666666666666669</v>
      </c>
      <c r="D5" s="3">
        <v>0.5</v>
      </c>
      <c r="E5" s="3">
        <v>0.5</v>
      </c>
      <c r="F5" s="3">
        <v>0.25</v>
      </c>
      <c r="G5" s="3">
        <f>AVERAGE(data[[#This Row],[Hacer: Criterio 01]:[Hacer: Criterio 02]])</f>
        <v>0.18253968253968253</v>
      </c>
      <c r="H5" s="3">
        <v>0.22222222222222221</v>
      </c>
      <c r="I5" s="3">
        <v>0.14285714285714285</v>
      </c>
      <c r="J5" s="3">
        <f>AVERAGE(data[[#This Row],[Verificar: Criterio 01]])</f>
        <v>0.5714285714285714</v>
      </c>
      <c r="K5" s="3">
        <v>0.5714285714285714</v>
      </c>
      <c r="L5" s="3">
        <f>AVERAGE(data[[#This Row],[Actuar: Criterio 01]])</f>
        <v>0.66666666666666663</v>
      </c>
      <c r="M5" s="3">
        <v>0.66666666666666663</v>
      </c>
    </row>
    <row r="6" spans="1:13" x14ac:dyDescent="0.25">
      <c r="A6" s="24" t="s">
        <v>34</v>
      </c>
      <c r="B6" s="4">
        <v>44051</v>
      </c>
      <c r="C6" s="3">
        <f>AVERAGE(data[[#This Row],[Planificar: Criterio 01]:[Planificar: Criterio 03]])</f>
        <v>0.62380952380952381</v>
      </c>
      <c r="D6" s="3">
        <v>0.5</v>
      </c>
      <c r="E6" s="3">
        <v>0.5714285714285714</v>
      </c>
      <c r="F6" s="3">
        <v>0.8</v>
      </c>
      <c r="G6" s="3">
        <f>AVERAGE(data[[#This Row],[Hacer: Criterio 01]:[Hacer: Criterio 02]])</f>
        <v>0.1</v>
      </c>
      <c r="H6" s="3">
        <v>0</v>
      </c>
      <c r="I6" s="3">
        <v>0.2</v>
      </c>
      <c r="J6" s="3">
        <f>AVERAGE(data[[#This Row],[Verificar: Criterio 01]])</f>
        <v>0.4</v>
      </c>
      <c r="K6" s="3">
        <v>0.4</v>
      </c>
      <c r="L6" s="3">
        <f>AVERAGE(data[[#This Row],[Actuar: Criterio 01]])</f>
        <v>0.4</v>
      </c>
      <c r="M6" s="3">
        <v>0.4</v>
      </c>
    </row>
    <row r="7" spans="1:13" x14ac:dyDescent="0.25">
      <c r="A7" s="24" t="s">
        <v>34</v>
      </c>
      <c r="B7" s="4">
        <v>44014</v>
      </c>
      <c r="C7" s="3">
        <f>AVERAGE(data[[#This Row],[Planificar: Criterio 01]:[Planificar: Criterio 03]])</f>
        <v>0.59696969696969693</v>
      </c>
      <c r="D7" s="3">
        <v>0.7</v>
      </c>
      <c r="E7" s="3">
        <v>1</v>
      </c>
      <c r="F7" s="3">
        <v>9.0909090909090912E-2</v>
      </c>
      <c r="G7" s="3">
        <f>AVERAGE(data[[#This Row],[Hacer: Criterio 01]:[Hacer: Criterio 02]])</f>
        <v>0.75</v>
      </c>
      <c r="H7" s="3">
        <v>1</v>
      </c>
      <c r="I7" s="3">
        <v>0.5</v>
      </c>
      <c r="J7" s="3">
        <f>AVERAGE(data[[#This Row],[Verificar: Criterio 01]])</f>
        <v>0.5</v>
      </c>
      <c r="K7" s="3">
        <v>0.5</v>
      </c>
      <c r="L7" s="3">
        <f>AVERAGE(data[[#This Row],[Actuar: Criterio 01]])</f>
        <v>0.16666666666666666</v>
      </c>
      <c r="M7" s="3">
        <v>0.16666666666666666</v>
      </c>
    </row>
    <row r="8" spans="1:13" x14ac:dyDescent="0.25">
      <c r="A8" t="s">
        <v>35</v>
      </c>
      <c r="B8" s="4">
        <v>43887</v>
      </c>
      <c r="C8" s="3">
        <f>AVERAGE(data[[#This Row],[Planificar: Criterio 01]:[Planificar: Criterio 03]])</f>
        <v>0.48095238095238096</v>
      </c>
      <c r="D8" s="3">
        <v>0.5</v>
      </c>
      <c r="E8" s="3">
        <v>0.8</v>
      </c>
      <c r="F8" s="3">
        <v>0.14285714285714285</v>
      </c>
      <c r="G8" s="3">
        <f>AVERAGE(data[[#This Row],[Hacer: Criterio 01]:[Hacer: Criterio 02]])</f>
        <v>0.4</v>
      </c>
      <c r="H8" s="3">
        <v>0.8</v>
      </c>
      <c r="I8" s="3">
        <v>0</v>
      </c>
      <c r="J8" s="3">
        <f>AVERAGE(data[[#This Row],[Verificar: Criterio 01]])</f>
        <v>0.66666666666666663</v>
      </c>
      <c r="K8" s="3">
        <v>0.66666666666666663</v>
      </c>
      <c r="L8" s="3">
        <f>AVERAGE(data[[#This Row],[Actuar: Criterio 01]])</f>
        <v>0.4</v>
      </c>
      <c r="M8" s="3">
        <v>0.4</v>
      </c>
    </row>
    <row r="9" spans="1:13" x14ac:dyDescent="0.25">
      <c r="A9" t="s">
        <v>35</v>
      </c>
      <c r="B9" s="4">
        <v>43831</v>
      </c>
      <c r="C9" s="3">
        <f>AVERAGE(data[[#This Row],[Planificar: Criterio 01]:[Planificar: Criterio 03]])</f>
        <v>0.55555555555555547</v>
      </c>
      <c r="D9" s="3">
        <v>1</v>
      </c>
      <c r="E9" s="3">
        <v>0.33333333333333331</v>
      </c>
      <c r="F9" s="3">
        <v>0.33333333333333331</v>
      </c>
      <c r="G9" s="3">
        <f>AVERAGE(data[[#This Row],[Hacer: Criterio 01]:[Hacer: Criterio 02]])</f>
        <v>0.5625</v>
      </c>
      <c r="H9" s="3">
        <v>0.625</v>
      </c>
      <c r="I9" s="3">
        <v>0.5</v>
      </c>
      <c r="J9" s="3">
        <f>AVERAGE(data[[#This Row],[Verificar: Criterio 01]])</f>
        <v>0.7142857142857143</v>
      </c>
      <c r="K9" s="3">
        <v>0.7142857142857143</v>
      </c>
      <c r="L9" s="3">
        <f>AVERAGE(data[[#This Row],[Actuar: Criterio 01]])</f>
        <v>0.2857142857142857</v>
      </c>
      <c r="M9" s="3">
        <v>0.2857142857142857</v>
      </c>
    </row>
    <row r="10" spans="1:13" x14ac:dyDescent="0.25">
      <c r="A10" t="s">
        <v>35</v>
      </c>
      <c r="B10" s="4">
        <v>43915</v>
      </c>
      <c r="C10" s="3">
        <f>AVERAGE(data[[#This Row],[Planificar: Criterio 01]:[Planificar: Criterio 03]])</f>
        <v>0.67037037037037039</v>
      </c>
      <c r="D10" s="3">
        <v>0.9</v>
      </c>
      <c r="E10" s="3">
        <v>0.33333333333333331</v>
      </c>
      <c r="F10" s="3">
        <v>0.77777777777777779</v>
      </c>
      <c r="G10" s="3">
        <f>AVERAGE(data[[#This Row],[Hacer: Criterio 01]:[Hacer: Criterio 02]])</f>
        <v>0.2</v>
      </c>
      <c r="H10" s="3">
        <v>0.4</v>
      </c>
      <c r="I10" s="3">
        <v>0</v>
      </c>
      <c r="J10" s="3">
        <f>AVERAGE(data[[#This Row],[Verificar: Criterio 01]])</f>
        <v>0.25</v>
      </c>
      <c r="K10" s="3">
        <v>0.25</v>
      </c>
      <c r="L10" s="3">
        <f>AVERAGE(data[[#This Row],[Actuar: Criterio 01]])</f>
        <v>0.25</v>
      </c>
      <c r="M10" s="3">
        <v>0.25</v>
      </c>
    </row>
    <row r="11" spans="1:13" x14ac:dyDescent="0.25">
      <c r="A11" t="s">
        <v>35</v>
      </c>
      <c r="B11" s="4">
        <v>43941</v>
      </c>
      <c r="C11" s="3">
        <f>AVERAGE(data[[#This Row],[Planificar: Criterio 01]:[Planificar: Criterio 03]])</f>
        <v>0.33333333333333331</v>
      </c>
      <c r="D11" s="3">
        <v>0.16666666666666666</v>
      </c>
      <c r="E11" s="3">
        <v>0.33333333333333331</v>
      </c>
      <c r="F11" s="3">
        <v>0.5</v>
      </c>
      <c r="G11" s="3">
        <f>AVERAGE(data[[#This Row],[Hacer: Criterio 01]:[Hacer: Criterio 02]])</f>
        <v>0.17499999999999999</v>
      </c>
      <c r="H11" s="3">
        <v>0.25</v>
      </c>
      <c r="I11" s="3">
        <v>0.1</v>
      </c>
      <c r="J11" s="3">
        <f>AVERAGE(data[[#This Row],[Verificar: Criterio 01]])</f>
        <v>0.2857142857142857</v>
      </c>
      <c r="K11" s="3">
        <v>0.2857142857142857</v>
      </c>
      <c r="L11" s="3">
        <f>AVERAGE(data[[#This Row],[Actuar: Criterio 01]])</f>
        <v>0.6</v>
      </c>
      <c r="M11" s="3">
        <v>0.6</v>
      </c>
    </row>
    <row r="12" spans="1:13" x14ac:dyDescent="0.25">
      <c r="A12" t="s">
        <v>35</v>
      </c>
      <c r="B12" s="4">
        <v>43996</v>
      </c>
      <c r="C12" s="3">
        <f>AVERAGE(data[[#This Row],[Planificar: Criterio 01]:[Planificar: Criterio 03]])</f>
        <v>0.83458333333333334</v>
      </c>
      <c r="D12" s="3">
        <v>1</v>
      </c>
      <c r="E12" s="3">
        <v>0.625</v>
      </c>
      <c r="F12" s="3">
        <v>0.87875000000000003</v>
      </c>
      <c r="G12" s="3">
        <f>AVERAGE(data[[#This Row],[Hacer: Criterio 01]:[Hacer: Criterio 02]])</f>
        <v>0.5</v>
      </c>
      <c r="H12" s="3">
        <v>0.33333333333333331</v>
      </c>
      <c r="I12" s="3">
        <v>0.66666666666666663</v>
      </c>
      <c r="J12" s="3">
        <f>AVERAGE(data[[#This Row],[Verificar: Criterio 01]])</f>
        <v>1</v>
      </c>
      <c r="K12" s="3">
        <v>1</v>
      </c>
      <c r="L12" s="3">
        <f>AVERAGE(data[[#This Row],[Actuar: Criterio 01]])</f>
        <v>0.8571428571428571</v>
      </c>
      <c r="M12" s="3">
        <v>0.8571428571428571</v>
      </c>
    </row>
    <row r="13" spans="1:13" x14ac:dyDescent="0.25">
      <c r="A13" t="s">
        <v>35</v>
      </c>
      <c r="B13" s="4">
        <v>44051</v>
      </c>
      <c r="C13" s="3">
        <f>AVERAGE(data[[#This Row],[Planificar: Criterio 01]:[Planificar: Criterio 03]])</f>
        <v>0.3666666666666667</v>
      </c>
      <c r="D13" s="3">
        <v>0.55555555555555558</v>
      </c>
      <c r="E13" s="3">
        <v>0.1</v>
      </c>
      <c r="F13" s="3">
        <v>0.44444444444444442</v>
      </c>
      <c r="G13" s="3">
        <f>AVERAGE(data[[#This Row],[Hacer: Criterio 01]:[Hacer: Criterio 02]])</f>
        <v>0.63749999999999996</v>
      </c>
      <c r="H13" s="3">
        <v>0.4</v>
      </c>
      <c r="I13" s="3">
        <v>0.875</v>
      </c>
      <c r="J13" s="3">
        <f>AVERAGE(data[[#This Row],[Verificar: Criterio 01]])</f>
        <v>0.7142857142857143</v>
      </c>
      <c r="K13" s="3">
        <v>0.7142857142857143</v>
      </c>
      <c r="L13" s="3">
        <f>AVERAGE(data[[#This Row],[Actuar: Criterio 01]])</f>
        <v>0.16666666666666666</v>
      </c>
      <c r="M13" s="3">
        <v>0.16666666666666666</v>
      </c>
    </row>
    <row r="14" spans="1:13" x14ac:dyDescent="0.25">
      <c r="A14" s="24" t="s">
        <v>36</v>
      </c>
      <c r="B14" s="4">
        <v>43831</v>
      </c>
      <c r="C14" s="3">
        <f>AVERAGE(data[[#This Row],[Planificar: Criterio 01]:[Planificar: Criterio 03]])</f>
        <v>0.30444444444444446</v>
      </c>
      <c r="D14" s="3">
        <v>0.33333333333333331</v>
      </c>
      <c r="E14" s="3">
        <v>0.38</v>
      </c>
      <c r="F14" s="3">
        <v>0.2</v>
      </c>
      <c r="G14" s="3">
        <f>AVERAGE(data[[#This Row],[Hacer: Criterio 01]:[Hacer: Criterio 02]])</f>
        <v>0.15000000000000002</v>
      </c>
      <c r="H14" s="3">
        <v>0.1</v>
      </c>
      <c r="I14" s="3">
        <v>0.2</v>
      </c>
      <c r="J14" s="3">
        <f>AVERAGE(data[[#This Row],[Verificar: Criterio 01]])</f>
        <v>0.5714285714285714</v>
      </c>
      <c r="K14" s="3">
        <v>0.5714285714285714</v>
      </c>
      <c r="L14" s="3">
        <f>AVERAGE(data[[#This Row],[Actuar: Criterio 01]])</f>
        <v>1</v>
      </c>
      <c r="M14" s="3">
        <v>1</v>
      </c>
    </row>
    <row r="15" spans="1:13" x14ac:dyDescent="0.25">
      <c r="A15" s="24" t="s">
        <v>36</v>
      </c>
      <c r="B15" s="4">
        <v>43886</v>
      </c>
      <c r="C15" s="3">
        <f>AVERAGE(data[[#This Row],[Planificar: Criterio 01]:[Planificar: Criterio 03]])</f>
        <v>0.43333333333333335</v>
      </c>
      <c r="D15" s="3">
        <v>0.4</v>
      </c>
      <c r="E15" s="3">
        <v>0.4</v>
      </c>
      <c r="F15" s="3">
        <v>0.5</v>
      </c>
      <c r="G15" s="3">
        <f>AVERAGE(data[[#This Row],[Hacer: Criterio 01]:[Hacer: Criterio 02]])</f>
        <v>0.33333333333333331</v>
      </c>
      <c r="H15" s="3">
        <v>0.16666666666666666</v>
      </c>
      <c r="I15" s="3">
        <v>0.5</v>
      </c>
      <c r="J15" s="3">
        <f>AVERAGE(data[[#This Row],[Verificar: Criterio 01]])</f>
        <v>0.125</v>
      </c>
      <c r="K15" s="3">
        <v>0.125</v>
      </c>
      <c r="L15" s="3">
        <f>AVERAGE(data[[#This Row],[Actuar: Criterio 01]])</f>
        <v>0.81818181818181823</v>
      </c>
      <c r="M15" s="3">
        <v>0.81818181818181823</v>
      </c>
    </row>
    <row r="16" spans="1:13" x14ac:dyDescent="0.25">
      <c r="A16" s="24" t="s">
        <v>36</v>
      </c>
      <c r="B16" s="4">
        <v>43941</v>
      </c>
      <c r="C16" s="3">
        <f>AVERAGE(data[[#This Row],[Planificar: Criterio 01]:[Planificar: Criterio 03]])</f>
        <v>0.59365079365079365</v>
      </c>
      <c r="D16" s="3">
        <v>0.7142857142857143</v>
      </c>
      <c r="E16" s="3">
        <v>0.4</v>
      </c>
      <c r="F16" s="3">
        <v>0.66666666666666663</v>
      </c>
      <c r="G16" s="3">
        <f>AVERAGE(data[[#This Row],[Hacer: Criterio 01]:[Hacer: Criterio 02]])</f>
        <v>0.5</v>
      </c>
      <c r="H16" s="3">
        <v>0.5</v>
      </c>
      <c r="I16" s="3">
        <v>0.5</v>
      </c>
      <c r="J16" s="3">
        <f>AVERAGE(data[[#This Row],[Verificar: Criterio 01]])</f>
        <v>0.5</v>
      </c>
      <c r="K16" s="3">
        <v>0.5</v>
      </c>
      <c r="L16" s="3">
        <f>AVERAGE(data[[#This Row],[Actuar: Criterio 01]])</f>
        <v>1</v>
      </c>
      <c r="M16" s="3">
        <v>1</v>
      </c>
    </row>
    <row r="17" spans="1:13" x14ac:dyDescent="0.25">
      <c r="A17" s="24" t="s">
        <v>36</v>
      </c>
      <c r="B17" s="4">
        <v>43965</v>
      </c>
      <c r="C17" s="3">
        <f>AVERAGE(data[[#This Row],[Planificar: Criterio 01]:[Planificar: Criterio 03]])</f>
        <v>0.28240740740740738</v>
      </c>
      <c r="D17" s="3">
        <v>0.125</v>
      </c>
      <c r="E17" s="3">
        <v>0.5</v>
      </c>
      <c r="F17" s="3">
        <v>0.22222222222222221</v>
      </c>
      <c r="G17" s="3">
        <f>AVERAGE(data[[#This Row],[Hacer: Criterio 01]:[Hacer: Criterio 02]])</f>
        <v>0.1984126984126984</v>
      </c>
      <c r="H17" s="3">
        <v>0.2857142857142857</v>
      </c>
      <c r="I17" s="3">
        <v>0.1111111111111111</v>
      </c>
      <c r="J17" s="3">
        <f>AVERAGE(data[[#This Row],[Verificar: Criterio 01]])</f>
        <v>0.54545454545454541</v>
      </c>
      <c r="K17" s="3">
        <v>0.54545454545454541</v>
      </c>
      <c r="L17" s="3">
        <f>AVERAGE(data[[#This Row],[Actuar: Criterio 01]])</f>
        <v>0.33333333333333331</v>
      </c>
      <c r="M17" s="3">
        <v>0.33333333333333331</v>
      </c>
    </row>
    <row r="18" spans="1:13" x14ac:dyDescent="0.25">
      <c r="A18" s="24" t="s">
        <v>36</v>
      </c>
      <c r="B18" s="4">
        <v>44051</v>
      </c>
      <c r="C18" s="3">
        <f>AVERAGE(data[[#This Row],[Planificar: Criterio 01]:[Planificar: Criterio 03]])</f>
        <v>0.54761904761904756</v>
      </c>
      <c r="D18" s="3">
        <v>0.14285714285714285</v>
      </c>
      <c r="E18" s="3">
        <v>0.5</v>
      </c>
      <c r="F18" s="3">
        <v>1</v>
      </c>
      <c r="G18" s="3">
        <f>AVERAGE(data[[#This Row],[Hacer: Criterio 01]:[Hacer: Criterio 02]])</f>
        <v>0.36249999999999999</v>
      </c>
      <c r="H18" s="3">
        <v>0.6</v>
      </c>
      <c r="I18" s="3">
        <v>0.125</v>
      </c>
      <c r="J18" s="3">
        <f>AVERAGE(data[[#This Row],[Verificar: Criterio 01]])</f>
        <v>0.72727272727272729</v>
      </c>
      <c r="K18" s="3">
        <v>0.72727272727272729</v>
      </c>
      <c r="L18" s="3">
        <f>AVERAGE(data[[#This Row],[Actuar: Criterio 01]])</f>
        <v>0.33333333333333331</v>
      </c>
      <c r="M18" s="3">
        <v>0.33333333333333331</v>
      </c>
    </row>
    <row r="19" spans="1:13" x14ac:dyDescent="0.25">
      <c r="A19" s="24" t="s">
        <v>36</v>
      </c>
      <c r="B19" s="4">
        <v>43892</v>
      </c>
      <c r="C19" s="3">
        <f>AVERAGE(data[[#This Row],[Planificar: Criterio 01]:[Planificar: Criterio 03]])</f>
        <v>0.20833333333333334</v>
      </c>
      <c r="D19" s="3">
        <v>0</v>
      </c>
      <c r="E19" s="3">
        <v>0</v>
      </c>
      <c r="F19" s="3">
        <v>0.625</v>
      </c>
      <c r="G19" s="3">
        <f>AVERAGE(data[[#This Row],[Hacer: Criterio 01]:[Hacer: Criterio 02]])</f>
        <v>0.27777777777777779</v>
      </c>
      <c r="H19" s="3">
        <v>0.55555555555555558</v>
      </c>
      <c r="I19" s="3">
        <v>0</v>
      </c>
      <c r="J19" s="3">
        <f>AVERAGE(data[[#This Row],[Verificar: Criterio 01]])</f>
        <v>0.16666666666666666</v>
      </c>
      <c r="K19" s="3">
        <v>0.16666666666666666</v>
      </c>
      <c r="L19" s="3">
        <f>AVERAGE(data[[#This Row],[Actuar: Criterio 01]])</f>
        <v>0.33333333333333331</v>
      </c>
      <c r="M19" s="3">
        <v>0.33333333333333331</v>
      </c>
    </row>
    <row r="20" spans="1:13" x14ac:dyDescent="0.25">
      <c r="A20" t="s">
        <v>37</v>
      </c>
      <c r="B20" s="5">
        <v>43886</v>
      </c>
      <c r="C20" s="6">
        <f>AVERAGE(data[[#This Row],[Planificar: Criterio 01]:[Planificar: Criterio 03]])</f>
        <v>0.67037037037037039</v>
      </c>
      <c r="D20" s="3">
        <v>0.9</v>
      </c>
      <c r="E20" s="3">
        <v>0.33333333333333331</v>
      </c>
      <c r="F20" s="3">
        <v>0.77777777777777779</v>
      </c>
      <c r="G20" s="3">
        <f>AVERAGE(data[[#This Row],[Hacer: Criterio 01]:[Hacer: Criterio 02]])</f>
        <v>0.2</v>
      </c>
      <c r="H20" s="3">
        <v>0.4</v>
      </c>
      <c r="I20" s="3">
        <v>0</v>
      </c>
      <c r="J20" s="3">
        <f>AVERAGE(data[[#This Row],[Verificar: Criterio 01]])</f>
        <v>0.25</v>
      </c>
      <c r="K20" s="3">
        <v>0.25</v>
      </c>
      <c r="L20" s="3">
        <f>AVERAGE(data[[#This Row],[Actuar: Criterio 01]])</f>
        <v>0.25</v>
      </c>
      <c r="M20" s="3">
        <v>0.25</v>
      </c>
    </row>
    <row r="21" spans="1:13" x14ac:dyDescent="0.25">
      <c r="A21" t="s">
        <v>37</v>
      </c>
      <c r="B21" s="5">
        <v>43941</v>
      </c>
      <c r="C21" s="6">
        <f>AVERAGE(data[[#This Row],[Planificar: Criterio 01]:[Planificar: Criterio 03]])</f>
        <v>0.33333333333333331</v>
      </c>
      <c r="D21" s="3">
        <v>0.16666666666666666</v>
      </c>
      <c r="E21" s="3">
        <v>0.33333333333333331</v>
      </c>
      <c r="F21" s="3">
        <v>0.5</v>
      </c>
      <c r="G21" s="3">
        <f>AVERAGE(data[[#This Row],[Hacer: Criterio 01]:[Hacer: Criterio 02]])</f>
        <v>0.17499999999999999</v>
      </c>
      <c r="H21" s="3">
        <v>0.25</v>
      </c>
      <c r="I21" s="3">
        <v>0.1</v>
      </c>
      <c r="J21" s="3">
        <f>AVERAGE(data[[#This Row],[Verificar: Criterio 01]])</f>
        <v>0.2857142857142857</v>
      </c>
      <c r="K21" s="3">
        <v>0.2857142857142857</v>
      </c>
      <c r="L21" s="3">
        <f>AVERAGE(data[[#This Row],[Actuar: Criterio 01]])</f>
        <v>0.6</v>
      </c>
      <c r="M21" s="3">
        <v>0.6</v>
      </c>
    </row>
    <row r="22" spans="1:13" x14ac:dyDescent="0.25">
      <c r="A22" t="s">
        <v>37</v>
      </c>
      <c r="B22" s="5">
        <v>43996</v>
      </c>
      <c r="C22" s="6">
        <f>AVERAGE(data[[#This Row],[Planificar: Criterio 01]:[Planificar: Criterio 03]])</f>
        <v>0.83458333333333334</v>
      </c>
      <c r="D22" s="3">
        <v>1</v>
      </c>
      <c r="E22" s="3">
        <v>0.625</v>
      </c>
      <c r="F22" s="3">
        <v>0.87875000000000003</v>
      </c>
      <c r="G22" s="3">
        <f>AVERAGE(data[[#This Row],[Hacer: Criterio 01]:[Hacer: Criterio 02]])</f>
        <v>0.5</v>
      </c>
      <c r="H22" s="3">
        <v>0.33333333333333331</v>
      </c>
      <c r="I22" s="3">
        <v>0.66666666666666663</v>
      </c>
      <c r="J22" s="3">
        <f>AVERAGE(data[[#This Row],[Verificar: Criterio 01]])</f>
        <v>1</v>
      </c>
      <c r="K22" s="3">
        <v>1</v>
      </c>
      <c r="L22" s="3">
        <f>AVERAGE(data[[#This Row],[Actuar: Criterio 01]])</f>
        <v>0.8571428571428571</v>
      </c>
      <c r="M22" s="3">
        <v>0.8571428571428571</v>
      </c>
    </row>
    <row r="23" spans="1:13" x14ac:dyDescent="0.25">
      <c r="A23" t="s">
        <v>37</v>
      </c>
      <c r="B23" s="5">
        <v>44051</v>
      </c>
      <c r="C23" s="6">
        <f>AVERAGE(data[[#This Row],[Planificar: Criterio 01]:[Planificar: Criterio 03]])</f>
        <v>0.3666666666666667</v>
      </c>
      <c r="D23" s="3">
        <v>0.55555555555555558</v>
      </c>
      <c r="E23" s="3">
        <v>0.1</v>
      </c>
      <c r="F23" s="3">
        <v>0.44444444444444442</v>
      </c>
      <c r="G23" s="3">
        <f>AVERAGE(data[[#This Row],[Hacer: Criterio 01]:[Hacer: Criterio 02]])</f>
        <v>0.63749999999999996</v>
      </c>
      <c r="H23" s="3">
        <v>0.4</v>
      </c>
      <c r="I23" s="3">
        <v>0.875</v>
      </c>
      <c r="J23" s="3">
        <f>AVERAGE(data[[#This Row],[Verificar: Criterio 01]])</f>
        <v>0.7142857142857143</v>
      </c>
      <c r="K23" s="3">
        <v>0.7142857142857143</v>
      </c>
      <c r="L23" s="3">
        <f>AVERAGE(data[[#This Row],[Actuar: Criterio 01]])</f>
        <v>0.16666666666666666</v>
      </c>
      <c r="M23" s="3">
        <v>0.16666666666666666</v>
      </c>
    </row>
    <row r="24" spans="1:13" x14ac:dyDescent="0.25">
      <c r="A24" t="s">
        <v>37</v>
      </c>
      <c r="B24" s="5">
        <v>43831</v>
      </c>
      <c r="C24" s="6">
        <f>AVERAGE(data[[#This Row],[Planificar: Criterio 01]:[Planificar: Criterio 03]])</f>
        <v>0.30444444444444446</v>
      </c>
      <c r="D24" s="3">
        <v>0.33333333333333331</v>
      </c>
      <c r="E24" s="3">
        <v>0.38</v>
      </c>
      <c r="F24" s="3">
        <v>0.2</v>
      </c>
      <c r="G24" s="3">
        <f>AVERAGE(data[[#This Row],[Hacer: Criterio 01]:[Hacer: Criterio 02]])</f>
        <v>0.15000000000000002</v>
      </c>
      <c r="H24" s="3">
        <v>0.1</v>
      </c>
      <c r="I24" s="3">
        <v>0.2</v>
      </c>
      <c r="J24" s="3">
        <f>AVERAGE(data[[#This Row],[Verificar: Criterio 01]])</f>
        <v>0.5714285714285714</v>
      </c>
      <c r="K24" s="3">
        <v>0.5714285714285714</v>
      </c>
      <c r="L24" s="3">
        <f>AVERAGE(data[[#This Row],[Actuar: Criterio 01]])</f>
        <v>1</v>
      </c>
      <c r="M24" s="3">
        <v>1</v>
      </c>
    </row>
    <row r="25" spans="1:13" x14ac:dyDescent="0.25">
      <c r="A25" t="s">
        <v>37</v>
      </c>
      <c r="B25" s="5">
        <v>43886</v>
      </c>
      <c r="C25" s="6">
        <f>AVERAGE(data[[#This Row],[Planificar: Criterio 01]:[Planificar: Criterio 03]])</f>
        <v>0.43333333333333335</v>
      </c>
      <c r="D25" s="3">
        <v>0.4</v>
      </c>
      <c r="E25" s="3">
        <v>0.4</v>
      </c>
      <c r="F25" s="3">
        <v>0.5</v>
      </c>
      <c r="G25" s="3">
        <f>AVERAGE(data[[#This Row],[Hacer: Criterio 01]:[Hacer: Criterio 02]])</f>
        <v>0.33333333333333331</v>
      </c>
      <c r="H25" s="3">
        <v>0.16666666666666666</v>
      </c>
      <c r="I25" s="3">
        <v>0.5</v>
      </c>
      <c r="J25" s="3">
        <f>AVERAGE(data[[#This Row],[Verificar: Criterio 01]])</f>
        <v>0.125</v>
      </c>
      <c r="K25" s="3">
        <v>0.125</v>
      </c>
      <c r="L25" s="3">
        <f>AVERAGE(data[[#This Row],[Actuar: Criterio 01]])</f>
        <v>0.81818181818181823</v>
      </c>
      <c r="M25" s="3">
        <v>0.81818181818181823</v>
      </c>
    </row>
    <row r="26" spans="1:13" x14ac:dyDescent="0.25">
      <c r="A26" t="s">
        <v>37</v>
      </c>
      <c r="B26" s="5">
        <v>43941</v>
      </c>
      <c r="C26" s="6">
        <f>AVERAGE(data[[#This Row],[Planificar: Criterio 01]:[Planificar: Criterio 03]])</f>
        <v>0.59365079365079365</v>
      </c>
      <c r="D26" s="3">
        <v>0.7142857142857143</v>
      </c>
      <c r="E26" s="3">
        <v>0.4</v>
      </c>
      <c r="F26" s="3">
        <v>0.66666666666666663</v>
      </c>
      <c r="G26" s="3">
        <f>AVERAGE(data[[#This Row],[Hacer: Criterio 01]:[Hacer: Criterio 02]])</f>
        <v>0.5</v>
      </c>
      <c r="H26" s="3">
        <v>0.5</v>
      </c>
      <c r="I26" s="3">
        <v>0.5</v>
      </c>
      <c r="J26" s="3">
        <f>AVERAGE(data[[#This Row],[Verificar: Criterio 01]])</f>
        <v>0.5</v>
      </c>
      <c r="K26" s="3">
        <v>0.5</v>
      </c>
      <c r="L26" s="3">
        <f>AVERAGE(data[[#This Row],[Actuar: Criterio 01]])</f>
        <v>1</v>
      </c>
      <c r="M26" s="3">
        <v>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Q1094"/>
  <sheetViews>
    <sheetView showGridLines="0" topLeftCell="A46" zoomScale="70" zoomScaleNormal="70" workbookViewId="0">
      <selection activeCell="D47" sqref="D47"/>
    </sheetView>
  </sheetViews>
  <sheetFormatPr baseColWidth="10" defaultRowHeight="15" x14ac:dyDescent="0.25"/>
  <cols>
    <col min="1" max="1" width="29.42578125" style="7" bestFit="1" customWidth="1"/>
    <col min="2" max="4" width="41.7109375" style="7" customWidth="1"/>
    <col min="5" max="5" width="11.42578125" style="7"/>
    <col min="6" max="6" width="11.42578125" style="23"/>
    <col min="7" max="8" width="11.42578125" style="7"/>
    <col min="9" max="9" width="11" style="7" customWidth="1"/>
    <col min="10" max="10" width="11.42578125" style="7"/>
    <col min="11" max="11" width="13.7109375" style="7" customWidth="1"/>
    <col min="12" max="16384" width="11.42578125" style="7"/>
  </cols>
  <sheetData>
    <row r="2" spans="1:10" x14ac:dyDescent="0.25">
      <c r="B2" s="65" t="s">
        <v>38</v>
      </c>
      <c r="G2" s="8" t="s">
        <v>4</v>
      </c>
    </row>
    <row r="3" spans="1:10" ht="15.75" x14ac:dyDescent="0.25">
      <c r="A3" s="28" t="s">
        <v>52</v>
      </c>
      <c r="B3" s="66">
        <f>VLOOKUP($A3,$D$75:$Q$80,14,0)</f>
        <v>0.53432690793662641</v>
      </c>
      <c r="G3" s="10">
        <f>B68</f>
        <v>0.50989924610976689</v>
      </c>
      <c r="I3" s="11">
        <f>G3</f>
        <v>0.50989924610976689</v>
      </c>
    </row>
    <row r="4" spans="1:10" x14ac:dyDescent="0.25">
      <c r="B4" s="66">
        <f>1-B3</f>
        <v>0.46567309206337359</v>
      </c>
      <c r="G4" s="10">
        <f>1-G3</f>
        <v>0.49010075389023311</v>
      </c>
      <c r="I4" s="11">
        <v>0.05</v>
      </c>
    </row>
    <row r="5" spans="1:10" x14ac:dyDescent="0.25">
      <c r="B5" s="66">
        <v>3</v>
      </c>
      <c r="G5" s="10">
        <v>0.5</v>
      </c>
      <c r="I5" s="11">
        <f>1.5-SUM(I3:I4)</f>
        <v>0.94010075389023307</v>
      </c>
    </row>
    <row r="6" spans="1:10" x14ac:dyDescent="0.25">
      <c r="B6" s="67"/>
    </row>
    <row r="7" spans="1:10" x14ac:dyDescent="0.25">
      <c r="B7" s="67"/>
    </row>
    <row r="8" spans="1:10" x14ac:dyDescent="0.25">
      <c r="B8" s="65" t="s">
        <v>39</v>
      </c>
    </row>
    <row r="9" spans="1:10" ht="15.75" x14ac:dyDescent="0.25">
      <c r="A9" s="26" t="s">
        <v>49</v>
      </c>
      <c r="B9" s="66">
        <f>VLOOKUP($A9,$D$75:$Q$80,14,0)</f>
        <v>0.42054263546464715</v>
      </c>
      <c r="H9" s="7" t="s">
        <v>42</v>
      </c>
      <c r="I9" s="7" t="s">
        <v>43</v>
      </c>
      <c r="J9" s="7" t="s">
        <v>44</v>
      </c>
    </row>
    <row r="10" spans="1:10" ht="15.75" x14ac:dyDescent="0.25">
      <c r="B10" s="66">
        <f>1-B9</f>
        <v>0.5794573645353529</v>
      </c>
      <c r="F10" s="28" t="s">
        <v>52</v>
      </c>
      <c r="G10" s="7" t="s">
        <v>9</v>
      </c>
      <c r="H10" s="9">
        <f>VLOOKUP($F10,$D$75:$Q$80,5,0)</f>
        <v>0.70854661574592415</v>
      </c>
      <c r="I10" s="9">
        <f>VLOOKUP($F10,$D$75:$Q$80,8,0)</f>
        <v>0.68754738952392813</v>
      </c>
      <c r="J10" s="9">
        <f>VLOOKUP($F10,$D$75:$Q$80,14,0)</f>
        <v>0.53432690793662641</v>
      </c>
    </row>
    <row r="11" spans="1:10" x14ac:dyDescent="0.25">
      <c r="B11" s="66">
        <v>3</v>
      </c>
      <c r="H11" s="9">
        <f>1-H10</f>
        <v>0.29145338425407585</v>
      </c>
      <c r="I11" s="9">
        <f t="shared" ref="I11:J11" si="0">1-I10</f>
        <v>0.31245261047607187</v>
      </c>
      <c r="J11" s="9">
        <f t="shared" si="0"/>
        <v>0.46567309206337359</v>
      </c>
    </row>
    <row r="12" spans="1:10" x14ac:dyDescent="0.25">
      <c r="B12" s="67"/>
      <c r="H12" s="9">
        <v>1</v>
      </c>
      <c r="I12" s="9">
        <v>1</v>
      </c>
      <c r="J12" s="9">
        <v>1</v>
      </c>
    </row>
    <row r="13" spans="1:10" x14ac:dyDescent="0.25">
      <c r="B13" s="67"/>
    </row>
    <row r="14" spans="1:10" x14ac:dyDescent="0.25">
      <c r="B14" s="65" t="s">
        <v>40</v>
      </c>
    </row>
    <row r="15" spans="1:10" ht="15.75" x14ac:dyDescent="0.25">
      <c r="A15" s="27" t="s">
        <v>50</v>
      </c>
      <c r="B15" s="66">
        <f>VLOOKUP($A15,$D$75:$Q$80,14,0)</f>
        <v>0.38587706013600143</v>
      </c>
      <c r="D15" s="25" t="s">
        <v>48</v>
      </c>
    </row>
    <row r="16" spans="1:10" x14ac:dyDescent="0.25">
      <c r="B16" s="66">
        <f>1-B15</f>
        <v>0.61412293986399857</v>
      </c>
      <c r="G16" s="7" t="s">
        <v>10</v>
      </c>
      <c r="H16" s="7" t="s">
        <v>42</v>
      </c>
      <c r="I16" s="7" t="s">
        <v>43</v>
      </c>
      <c r="J16" s="7" t="s">
        <v>44</v>
      </c>
    </row>
    <row r="17" spans="1:10" ht="15.75" x14ac:dyDescent="0.25">
      <c r="B17" s="66">
        <v>3</v>
      </c>
      <c r="F17" s="26" t="s">
        <v>49</v>
      </c>
      <c r="H17" s="9">
        <f>VLOOKUP($F17,$D$75:$Q$80,5,0)</f>
        <v>0.87757220757093923</v>
      </c>
      <c r="I17" s="9">
        <f>VLOOKUP($F17,$D$75:$Q$80,8,0)</f>
        <v>0.55241589040982253</v>
      </c>
      <c r="J17" s="9">
        <f>VLOOKUP($F17,$D$75:$Q$80,14,0)</f>
        <v>0.42054263546464715</v>
      </c>
    </row>
    <row r="18" spans="1:10" x14ac:dyDescent="0.25">
      <c r="B18" s="67"/>
      <c r="H18" s="9">
        <f>1-H17</f>
        <v>0.12242779242906077</v>
      </c>
      <c r="I18" s="9">
        <f t="shared" ref="I18:J18" si="1">1-I17</f>
        <v>0.44758410959017747</v>
      </c>
      <c r="J18" s="9">
        <f t="shared" si="1"/>
        <v>0.5794573645353529</v>
      </c>
    </row>
    <row r="19" spans="1:10" x14ac:dyDescent="0.25">
      <c r="B19" s="67"/>
      <c r="H19" s="9">
        <v>1</v>
      </c>
      <c r="I19" s="9">
        <v>1</v>
      </c>
      <c r="J19" s="9">
        <v>1</v>
      </c>
    </row>
    <row r="20" spans="1:10" x14ac:dyDescent="0.25">
      <c r="B20" s="65" t="s">
        <v>41</v>
      </c>
    </row>
    <row r="21" spans="1:10" ht="15.75" x14ac:dyDescent="0.25">
      <c r="A21" s="27" t="s">
        <v>51</v>
      </c>
      <c r="B21" s="66">
        <f>VLOOKUP($A21,$D$75:$Q$80,14,0)</f>
        <v>0.43716653043755693</v>
      </c>
    </row>
    <row r="22" spans="1:10" x14ac:dyDescent="0.25">
      <c r="B22" s="66">
        <f>1-B21</f>
        <v>0.56283346956244307</v>
      </c>
      <c r="G22" s="7" t="s">
        <v>11</v>
      </c>
      <c r="H22" s="7" t="s">
        <v>42</v>
      </c>
      <c r="I22" s="7" t="s">
        <v>43</v>
      </c>
      <c r="J22" s="7" t="s">
        <v>44</v>
      </c>
    </row>
    <row r="23" spans="1:10" ht="15.75" x14ac:dyDescent="0.25">
      <c r="B23" s="66">
        <v>3</v>
      </c>
      <c r="F23" s="27" t="s">
        <v>50</v>
      </c>
      <c r="H23" s="9">
        <f>VLOOKUP($F23,$D$75:$Q$80,5,0)</f>
        <v>0.92221869603902462</v>
      </c>
      <c r="I23" s="9">
        <f>VLOOKUP($F23,$D$75:$Q$80,8,0)</f>
        <v>0.92221869603902462</v>
      </c>
      <c r="J23" s="9">
        <f>VLOOKUP($F23,$D$75:$Q$80,14,0)</f>
        <v>0.38587706013600143</v>
      </c>
    </row>
    <row r="24" spans="1:10" x14ac:dyDescent="0.25">
      <c r="H24" s="9">
        <f>1-H23</f>
        <v>7.7781303960975379E-2</v>
      </c>
      <c r="I24" s="9">
        <f t="shared" ref="I24:J24" si="2">1-I23</f>
        <v>7.7781303960975379E-2</v>
      </c>
      <c r="J24" s="9">
        <f t="shared" si="2"/>
        <v>0.61412293986399857</v>
      </c>
    </row>
    <row r="25" spans="1:10" x14ac:dyDescent="0.25">
      <c r="H25" s="9">
        <v>1</v>
      </c>
      <c r="I25" s="9">
        <v>1</v>
      </c>
      <c r="J25" s="9">
        <v>1</v>
      </c>
    </row>
    <row r="27" spans="1:10" x14ac:dyDescent="0.25">
      <c r="G27" s="7" t="s">
        <v>12</v>
      </c>
      <c r="H27" s="7" t="s">
        <v>42</v>
      </c>
      <c r="I27" s="7" t="s">
        <v>43</v>
      </c>
      <c r="J27" s="7" t="s">
        <v>44</v>
      </c>
    </row>
    <row r="28" spans="1:10" ht="15.75" x14ac:dyDescent="0.25">
      <c r="F28" s="27" t="s">
        <v>51</v>
      </c>
      <c r="H28" s="9">
        <f>VLOOKUP($F28,$D$75:$Q$80,5,0)</f>
        <v>0.54305224118010731</v>
      </c>
      <c r="I28" s="9">
        <f>VLOOKUP($F28,$D$75:$Q$80,8,0)</f>
        <v>0.4787059913174212</v>
      </c>
      <c r="J28" s="9">
        <f>VLOOKUP($F28,$D$75:$Q$80,14,0)</f>
        <v>0.43716653043755693</v>
      </c>
    </row>
    <row r="29" spans="1:10" x14ac:dyDescent="0.25">
      <c r="A29" s="7">
        <v>3</v>
      </c>
      <c r="B29" s="7" t="str">
        <f>VLOOKUP(A29,$A$33:$B$36,2,0)</f>
        <v>VERIFICAR</v>
      </c>
      <c r="H29" s="9">
        <f>1-H28</f>
        <v>0.45694775881989269</v>
      </c>
      <c r="I29" s="9">
        <f t="shared" ref="I29:J29" si="3">1-I28</f>
        <v>0.5212940086825788</v>
      </c>
      <c r="J29" s="9">
        <f t="shared" si="3"/>
        <v>0.56283346956244307</v>
      </c>
    </row>
    <row r="30" spans="1:10" x14ac:dyDescent="0.25">
      <c r="H30" s="9">
        <v>1</v>
      </c>
      <c r="I30" s="9">
        <v>1</v>
      </c>
      <c r="J30" s="9">
        <v>1</v>
      </c>
    </row>
    <row r="33" spans="1:4" x14ac:dyDescent="0.25">
      <c r="A33" s="7">
        <v>1</v>
      </c>
      <c r="B33" s="7" t="s">
        <v>0</v>
      </c>
    </row>
    <row r="34" spans="1:4" x14ac:dyDescent="0.25">
      <c r="A34" s="7">
        <v>2</v>
      </c>
      <c r="B34" s="7" t="s">
        <v>1</v>
      </c>
    </row>
    <row r="35" spans="1:4" x14ac:dyDescent="0.25">
      <c r="A35" s="7">
        <v>3</v>
      </c>
      <c r="B35" s="7" t="s">
        <v>2</v>
      </c>
    </row>
    <row r="36" spans="1:4" x14ac:dyDescent="0.25">
      <c r="A36" s="7">
        <v>4</v>
      </c>
      <c r="B36" s="7" t="s">
        <v>3</v>
      </c>
    </row>
    <row r="43" spans="1:4" x14ac:dyDescent="0.25">
      <c r="A43" s="12" t="s">
        <v>5</v>
      </c>
      <c r="B43" s="12" t="s">
        <v>6</v>
      </c>
      <c r="C43" s="12" t="s">
        <v>7</v>
      </c>
      <c r="D43" s="12" t="s">
        <v>8</v>
      </c>
    </row>
    <row r="44" spans="1:4" ht="142.15" customHeight="1" x14ac:dyDescent="0.25">
      <c r="A44" s="12" t="s">
        <v>38</v>
      </c>
      <c r="B44" s="12"/>
      <c r="C44" s="12"/>
      <c r="D44" s="12"/>
    </row>
    <row r="45" spans="1:4" ht="142.15" customHeight="1" x14ac:dyDescent="0.25">
      <c r="A45" s="12" t="s">
        <v>39</v>
      </c>
      <c r="B45" s="12"/>
      <c r="C45" s="12"/>
      <c r="D45" s="12"/>
    </row>
    <row r="46" spans="1:4" ht="142.15" customHeight="1" x14ac:dyDescent="0.25">
      <c r="A46" s="12" t="s">
        <v>40</v>
      </c>
      <c r="B46" s="12"/>
      <c r="C46" s="12"/>
      <c r="D46" s="12"/>
    </row>
    <row r="47" spans="1:4" ht="150" customHeight="1" x14ac:dyDescent="0.25">
      <c r="A47" s="12" t="s">
        <v>41</v>
      </c>
      <c r="B47" s="12"/>
      <c r="C47" s="12"/>
      <c r="D47" s="12"/>
    </row>
    <row r="67" spans="1:17" ht="15.75" thickBot="1" x14ac:dyDescent="0.3"/>
    <row r="68" spans="1:17" ht="17.25" thickTop="1" thickBot="1" x14ac:dyDescent="0.3">
      <c r="A68" s="48" t="s">
        <v>47</v>
      </c>
      <c r="B68" s="9">
        <f>VLOOKUP($A68,$D$75:$Q$80,14,0)</f>
        <v>0.50989924610976689</v>
      </c>
    </row>
    <row r="69" spans="1:17" ht="15.75" thickTop="1" x14ac:dyDescent="0.25"/>
    <row r="72" spans="1:17" x14ac:dyDescent="0.25">
      <c r="A72" s="7" t="s">
        <v>23</v>
      </c>
    </row>
    <row r="73" spans="1:17" ht="15.75" thickBot="1" x14ac:dyDescent="0.3">
      <c r="A73" s="9">
        <v>0.47595339105339107</v>
      </c>
    </row>
    <row r="74" spans="1:17" ht="48.75" thickTop="1" thickBot="1" x14ac:dyDescent="0.3">
      <c r="D74" s="29" t="s">
        <v>65</v>
      </c>
      <c r="E74" s="30" t="s">
        <v>64</v>
      </c>
      <c r="F74" s="31" t="s">
        <v>42</v>
      </c>
      <c r="G74" s="31" t="s">
        <v>63</v>
      </c>
      <c r="H74" s="32" t="s">
        <v>62</v>
      </c>
      <c r="I74" s="33" t="s">
        <v>61</v>
      </c>
      <c r="J74" s="33" t="s">
        <v>60</v>
      </c>
      <c r="K74" s="34" t="s">
        <v>59</v>
      </c>
      <c r="L74" s="35" t="s">
        <v>58</v>
      </c>
      <c r="M74" s="35" t="s">
        <v>57</v>
      </c>
      <c r="N74" s="36" t="s">
        <v>56</v>
      </c>
      <c r="O74" s="37" t="s">
        <v>55</v>
      </c>
      <c r="P74" s="37" t="s">
        <v>54</v>
      </c>
      <c r="Q74" s="38" t="s">
        <v>53</v>
      </c>
    </row>
    <row r="75" spans="1:17" ht="16.5" thickTop="1" x14ac:dyDescent="0.25">
      <c r="D75" s="28" t="s">
        <v>52</v>
      </c>
      <c r="E75" s="49">
        <v>101054824</v>
      </c>
      <c r="F75" s="50">
        <v>71602053.549999997</v>
      </c>
      <c r="G75" s="50">
        <v>29452770.450000003</v>
      </c>
      <c r="H75" s="55">
        <v>0.70854661574592415</v>
      </c>
      <c r="I75" s="50">
        <v>69479980.439999998</v>
      </c>
      <c r="J75" s="50">
        <v>31574843.560000002</v>
      </c>
      <c r="K75" s="55">
        <v>0.68754738952392813</v>
      </c>
      <c r="L75" s="50">
        <v>55134436.109999992</v>
      </c>
      <c r="M75" s="50">
        <v>45920387.890000008</v>
      </c>
      <c r="N75" s="55">
        <v>0.54558935365618955</v>
      </c>
      <c r="O75" s="50">
        <v>53996311.639999986</v>
      </c>
      <c r="P75" s="50">
        <v>47058512.360000014</v>
      </c>
      <c r="Q75" s="58">
        <v>0.53432690793662641</v>
      </c>
    </row>
    <row r="76" spans="1:17" ht="15.75" x14ac:dyDescent="0.25">
      <c r="D76" s="27" t="s">
        <v>51</v>
      </c>
      <c r="E76" s="51">
        <v>8757306</v>
      </c>
      <c r="F76" s="52">
        <v>4755674.6500000004</v>
      </c>
      <c r="G76" s="52">
        <v>4001631.3499999996</v>
      </c>
      <c r="H76" s="56">
        <v>0.54305224118010731</v>
      </c>
      <c r="I76" s="52">
        <v>4192174.8500000006</v>
      </c>
      <c r="J76" s="52">
        <v>4565131.1499999994</v>
      </c>
      <c r="K76" s="56">
        <v>0.4787059913174212</v>
      </c>
      <c r="L76" s="52">
        <v>4166149.68</v>
      </c>
      <c r="M76" s="52">
        <v>4591156.32</v>
      </c>
      <c r="N76" s="56">
        <v>0.47573416756249015</v>
      </c>
      <c r="O76" s="52">
        <v>3828401.08</v>
      </c>
      <c r="P76" s="52">
        <v>4928904.92</v>
      </c>
      <c r="Q76" s="59">
        <v>0.43716653043755693</v>
      </c>
    </row>
    <row r="77" spans="1:17" ht="15.75" x14ac:dyDescent="0.25">
      <c r="D77" s="27" t="s">
        <v>50</v>
      </c>
      <c r="E77" s="51">
        <v>6387139</v>
      </c>
      <c r="F77" s="52">
        <v>5890339</v>
      </c>
      <c r="G77" s="52">
        <v>496800</v>
      </c>
      <c r="H77" s="56">
        <v>0.92221869603902462</v>
      </c>
      <c r="I77" s="52">
        <v>5890339</v>
      </c>
      <c r="J77" s="52">
        <v>496800</v>
      </c>
      <c r="K77" s="56">
        <v>0.92221869603902462</v>
      </c>
      <c r="L77" s="52">
        <v>2464650.42</v>
      </c>
      <c r="M77" s="52">
        <v>3922488.58</v>
      </c>
      <c r="N77" s="56">
        <v>0.38587706013600143</v>
      </c>
      <c r="O77" s="52">
        <v>2464650.42</v>
      </c>
      <c r="P77" s="52">
        <v>3922488.58</v>
      </c>
      <c r="Q77" s="59">
        <v>0.38587706013600143</v>
      </c>
    </row>
    <row r="78" spans="1:17" ht="15.75" x14ac:dyDescent="0.25">
      <c r="D78" s="26" t="s">
        <v>49</v>
      </c>
      <c r="E78" s="61">
        <v>11571986</v>
      </c>
      <c r="F78" s="62">
        <v>10155253.300000003</v>
      </c>
      <c r="G78" s="62">
        <v>1416732.6999999974</v>
      </c>
      <c r="H78" s="63">
        <v>0.87757220757093923</v>
      </c>
      <c r="I78" s="62">
        <v>6392548.9500000002</v>
      </c>
      <c r="J78" s="62">
        <v>5179437.05</v>
      </c>
      <c r="K78" s="63">
        <v>0.55241589040982253</v>
      </c>
      <c r="L78" s="62">
        <v>5647858.6600000001</v>
      </c>
      <c r="M78" s="62">
        <v>5924127.3399999999</v>
      </c>
      <c r="N78" s="63">
        <v>0.48806303948172769</v>
      </c>
      <c r="O78" s="62">
        <v>4866513.49</v>
      </c>
      <c r="P78" s="62">
        <v>6705472.5099999998</v>
      </c>
      <c r="Q78" s="64">
        <v>0.42054263546464715</v>
      </c>
    </row>
    <row r="79" spans="1:17" ht="16.5" thickBot="1" x14ac:dyDescent="0.3">
      <c r="A79" s="7" t="s">
        <v>24</v>
      </c>
      <c r="D79" s="25" t="s">
        <v>48</v>
      </c>
      <c r="E79" s="53">
        <v>10610</v>
      </c>
      <c r="F79" s="54">
        <v>4472</v>
      </c>
      <c r="G79" s="54">
        <v>6138</v>
      </c>
      <c r="H79" s="57">
        <v>0.42148916116870877</v>
      </c>
      <c r="I79" s="54">
        <v>4472</v>
      </c>
      <c r="J79" s="54">
        <v>6138</v>
      </c>
      <c r="K79" s="57">
        <v>0.42148916116870877</v>
      </c>
      <c r="L79" s="54">
        <v>2872</v>
      </c>
      <c r="M79" s="54">
        <v>7738</v>
      </c>
      <c r="N79" s="57">
        <v>0.27068803016022619</v>
      </c>
      <c r="O79" s="54">
        <v>0</v>
      </c>
      <c r="P79" s="54">
        <v>10610</v>
      </c>
      <c r="Q79" s="60">
        <v>0</v>
      </c>
    </row>
    <row r="80" spans="1:17" ht="17.25" thickTop="1" thickBot="1" x14ac:dyDescent="0.3">
      <c r="A80" s="9">
        <v>0.37509466089466093</v>
      </c>
      <c r="D80" s="48" t="s">
        <v>47</v>
      </c>
      <c r="E80" s="39">
        <v>127781865</v>
      </c>
      <c r="F80" s="40">
        <v>92407792.5</v>
      </c>
      <c r="G80" s="40">
        <v>35374072.499999955</v>
      </c>
      <c r="H80" s="41">
        <v>0.72316828761264396</v>
      </c>
      <c r="I80" s="42">
        <v>85959515.239999995</v>
      </c>
      <c r="J80" s="42">
        <v>41822349.760000005</v>
      </c>
      <c r="K80" s="43">
        <v>0.6727051232191672</v>
      </c>
      <c r="L80" s="44">
        <v>67415966.86999999</v>
      </c>
      <c r="M80" s="44">
        <v>60365898.13000001</v>
      </c>
      <c r="N80" s="45">
        <v>0.52758634310119035</v>
      </c>
      <c r="O80" s="46">
        <v>65155876.630000003</v>
      </c>
      <c r="P80" s="46">
        <v>62625988.369999997</v>
      </c>
      <c r="Q80" s="47">
        <v>0.50989924610976689</v>
      </c>
    </row>
    <row r="81" spans="1:3" ht="15.75" thickTop="1" x14ac:dyDescent="0.25"/>
    <row r="85" spans="1:3" x14ac:dyDescent="0.25">
      <c r="A85" s="7" t="s">
        <v>25</v>
      </c>
    </row>
    <row r="86" spans="1:3" x14ac:dyDescent="0.25">
      <c r="A86" s="9">
        <v>0.53195670995670985</v>
      </c>
    </row>
    <row r="90" spans="1:3" x14ac:dyDescent="0.25">
      <c r="A90" s="7" t="s">
        <v>26</v>
      </c>
    </row>
    <row r="91" spans="1:3" x14ac:dyDescent="0.25">
      <c r="A91" s="9">
        <v>0.54712121212121212</v>
      </c>
    </row>
    <row r="95" spans="1:3" x14ac:dyDescent="0.25">
      <c r="A95" s="7" t="s">
        <v>27</v>
      </c>
      <c r="B95" s="7" t="s">
        <v>28</v>
      </c>
      <c r="C95" s="7" t="s">
        <v>29</v>
      </c>
    </row>
    <row r="96" spans="1:3" x14ac:dyDescent="0.25">
      <c r="A96" s="9">
        <v>0.51096825396825396</v>
      </c>
      <c r="B96" s="9">
        <v>0.40090793650793655</v>
      </c>
      <c r="C96" s="9">
        <v>0.51598398268398271</v>
      </c>
    </row>
    <row r="101" spans="1:3" x14ac:dyDescent="0.25">
      <c r="A101" s="7" t="s">
        <v>30</v>
      </c>
      <c r="B101" s="7" t="s">
        <v>31</v>
      </c>
    </row>
    <row r="102" spans="1:3" x14ac:dyDescent="0.25">
      <c r="A102" s="9">
        <v>0.39103059163059162</v>
      </c>
      <c r="B102" s="9">
        <v>0.35915873015873018</v>
      </c>
      <c r="C102" s="9">
        <v>0.39103059163059162</v>
      </c>
    </row>
    <row r="103" spans="1:3" x14ac:dyDescent="0.25">
      <c r="A103" s="13"/>
      <c r="B103" s="13"/>
    </row>
    <row r="107" spans="1:3" x14ac:dyDescent="0.25">
      <c r="A107" s="7" t="s">
        <v>32</v>
      </c>
    </row>
    <row r="108" spans="1:3" x14ac:dyDescent="0.25">
      <c r="A108" s="9">
        <v>0.53195670995670985</v>
      </c>
      <c r="B108" s="9">
        <v>0.39103059163059162</v>
      </c>
      <c r="C108" s="9">
        <v>0.53195670995670985</v>
      </c>
    </row>
    <row r="113" spans="1:3" x14ac:dyDescent="0.25">
      <c r="A113" s="7" t="s">
        <v>33</v>
      </c>
    </row>
    <row r="114" spans="1:3" x14ac:dyDescent="0.25">
      <c r="A114" s="9">
        <v>0.54712121212121212</v>
      </c>
      <c r="B114" s="9">
        <v>0.35915873015873018</v>
      </c>
      <c r="C114" s="9">
        <v>0.54712121212121212</v>
      </c>
    </row>
    <row r="1077" spans="1:3" x14ac:dyDescent="0.25">
      <c r="A1077" s="14"/>
      <c r="B1077" s="15"/>
      <c r="C1077" s="16"/>
    </row>
    <row r="1078" spans="1:3" x14ac:dyDescent="0.25">
      <c r="A1078" s="17"/>
      <c r="B1078" s="18"/>
      <c r="C1078" s="19"/>
    </row>
    <row r="1079" spans="1:3" x14ac:dyDescent="0.25">
      <c r="A1079" s="17"/>
      <c r="B1079" s="18"/>
      <c r="C1079" s="19"/>
    </row>
    <row r="1080" spans="1:3" x14ac:dyDescent="0.25">
      <c r="A1080" s="17"/>
      <c r="B1080" s="18"/>
      <c r="C1080" s="19"/>
    </row>
    <row r="1081" spans="1:3" x14ac:dyDescent="0.25">
      <c r="A1081" s="17"/>
      <c r="B1081" s="18"/>
      <c r="C1081" s="19"/>
    </row>
    <row r="1082" spans="1:3" x14ac:dyDescent="0.25">
      <c r="A1082" s="17"/>
      <c r="B1082" s="18"/>
      <c r="C1082" s="19"/>
    </row>
    <row r="1083" spans="1:3" x14ac:dyDescent="0.25">
      <c r="A1083" s="17"/>
      <c r="B1083" s="18"/>
      <c r="C1083" s="19"/>
    </row>
    <row r="1084" spans="1:3" x14ac:dyDescent="0.25">
      <c r="A1084" s="17"/>
      <c r="B1084" s="18"/>
      <c r="C1084" s="19"/>
    </row>
    <row r="1085" spans="1:3" x14ac:dyDescent="0.25">
      <c r="A1085" s="17"/>
      <c r="B1085" s="18"/>
      <c r="C1085" s="19"/>
    </row>
    <row r="1086" spans="1:3" x14ac:dyDescent="0.25">
      <c r="A1086" s="17"/>
      <c r="B1086" s="18"/>
      <c r="C1086" s="19"/>
    </row>
    <row r="1087" spans="1:3" x14ac:dyDescent="0.25">
      <c r="A1087" s="17"/>
      <c r="B1087" s="18"/>
      <c r="C1087" s="19"/>
    </row>
    <row r="1088" spans="1:3" x14ac:dyDescent="0.25">
      <c r="A1088" s="17"/>
      <c r="B1088" s="18"/>
      <c r="C1088" s="19"/>
    </row>
    <row r="1089" spans="1:3" x14ac:dyDescent="0.25">
      <c r="A1089" s="17"/>
      <c r="B1089" s="18"/>
      <c r="C1089" s="19"/>
    </row>
    <row r="1090" spans="1:3" x14ac:dyDescent="0.25">
      <c r="A1090" s="17"/>
      <c r="B1090" s="18"/>
      <c r="C1090" s="19"/>
    </row>
    <row r="1091" spans="1:3" x14ac:dyDescent="0.25">
      <c r="A1091" s="17"/>
      <c r="B1091" s="18"/>
      <c r="C1091" s="19"/>
    </row>
    <row r="1092" spans="1:3" x14ac:dyDescent="0.25">
      <c r="A1092" s="17"/>
      <c r="B1092" s="18"/>
      <c r="C1092" s="19"/>
    </row>
    <row r="1093" spans="1:3" x14ac:dyDescent="0.25">
      <c r="A1093" s="17"/>
      <c r="B1093" s="18"/>
      <c r="C1093" s="19"/>
    </row>
    <row r="1094" spans="1:3" x14ac:dyDescent="0.25">
      <c r="A1094" s="20"/>
      <c r="B1094" s="21"/>
      <c r="C1094" s="22"/>
    </row>
  </sheetData>
  <conditionalFormatting pivot="1" sqref="H75:H80 K75:K80 N75:N80 Q75:Q80">
    <cfRule type="iconSet" priority="1">
      <iconSet iconSet="3Flag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horizontalDpi="4294967292" verticalDpi="0" r:id="rId11"/>
  <drawing r:id="rId1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8</vt:i4>
      </vt:variant>
    </vt:vector>
  </HeadingPairs>
  <TitlesOfParts>
    <vt:vector size="9" baseType="lpstr">
      <vt:lpstr>PRESUPUESTO</vt:lpstr>
      <vt:lpstr>ACTUAR</vt:lpstr>
      <vt:lpstr>CATEGORIA</vt:lpstr>
      <vt:lpstr>CLASEA</vt:lpstr>
      <vt:lpstr>CLASEB</vt:lpstr>
      <vt:lpstr>CLASEC</vt:lpstr>
      <vt:lpstr>HACER</vt:lpstr>
      <vt:lpstr>PLANIFICAR</vt:lpstr>
      <vt:lpstr>VERIFICAR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Dayri Pierina Guzman</dc:creator>
  <cp:lastModifiedBy>USUARIO</cp:lastModifiedBy>
  <dcterms:created xsi:type="dcterms:W3CDTF">2020-07-13T03:30:35Z</dcterms:created>
  <dcterms:modified xsi:type="dcterms:W3CDTF">2021-08-03T02:44:14Z</dcterms:modified>
</cp:coreProperties>
</file>